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S:\Kystsoft\ColorVario\doc\"/>
    </mc:Choice>
  </mc:AlternateContent>
  <xr:revisionPtr revIDLastSave="0" documentId="13_ncr:1_{D1E89822-7A66-4711-AE9A-7B13FAD46102}" xr6:coauthVersionLast="36" xr6:coauthVersionMax="36" xr10:uidLastSave="{00000000-0000-0000-0000-000000000000}"/>
  <bookViews>
    <workbookView xWindow="0" yWindow="0" windowWidth="19200" windowHeight="11760" xr2:uid="{00000000-000D-0000-FFFF-FFFF00000000}"/>
  </bookViews>
  <sheets>
    <sheet name="Climb colors" sheetId="4" r:id="rId1"/>
    <sheet name="Altitude colors" sheetId="5" r:id="rId2"/>
    <sheet name="User interface colors" sheetId="6" r:id="rId3"/>
    <sheet name="Gamma correction" sheetId="2" r:id="rId4"/>
    <sheet name="Alpha blending" sheetId="1" r:id="rId5"/>
    <sheet name="Color blending" sheetId="3" r:id="rId6"/>
  </sheets>
  <definedNames>
    <definedName name="Button" localSheetId="2">'User interface colors'!$A$17</definedName>
    <definedName name="Color1" localSheetId="4">'Alpha blending'!$T$1,'Alpha blending'!$T$5:$T$24</definedName>
    <definedName name="Color1" localSheetId="1">'Altitude colors'!$V$1,'Altitude colors'!$V$5:$V$24</definedName>
    <definedName name="Color1" localSheetId="0">'Climb colors'!$V$1,'Climb colors'!$V$5:$V$24</definedName>
    <definedName name="Color1" localSheetId="5">'Color blending'!$V$1,'Color blending'!$V$5:$V$25</definedName>
    <definedName name="Color1" localSheetId="3">'Gamma correction'!$T$1,'Gamma correction'!$T$5:$T$14</definedName>
    <definedName name="Color1" localSheetId="2">'User interface colors'!$T$1,'User interface colors'!$T$5:$T$47</definedName>
    <definedName name="Color2" localSheetId="4">'Alpha blending'!$U$1,'Alpha blending'!$U$5:$U$24</definedName>
    <definedName name="Color2" localSheetId="1">'Altitude colors'!$W$1,'Altitude colors'!$W$5:$W$24</definedName>
    <definedName name="Color2" localSheetId="0">'Climb colors'!$W$1,'Climb colors'!$W$5:$W$24</definedName>
    <definedName name="Color2" localSheetId="5">'Color blending'!$W$1,'Color blending'!$W$5:$W$25</definedName>
    <definedName name="Color2" localSheetId="3">'Gamma correction'!$U$1,'Gamma correction'!$U$5:$U$14</definedName>
    <definedName name="Color2" localSheetId="2">'User interface colors'!$U$1,'User interface colors'!$U$5:$U$47</definedName>
    <definedName name="Color3" localSheetId="5">'Color blending'!$X$1,'Color blending'!$X$5:$X$25</definedName>
    <definedName name="Color4" localSheetId="5">'Color blending'!$Y$1,'Color blending'!$Y$5:$Y$25</definedName>
    <definedName name="gamma" localSheetId="4">'Alpha blending'!$A$3</definedName>
    <definedName name="gamma" localSheetId="1">'Altitude colors'!$A$3</definedName>
    <definedName name="gamma" localSheetId="0">'Climb colors'!$A$3</definedName>
    <definedName name="gamma" localSheetId="5">'Color blending'!$A$3</definedName>
    <definedName name="gamma" localSheetId="3">'Gamma correction'!$A$3</definedName>
    <definedName name="gamma" localSheetId="2">'User interface colors'!$A$3</definedName>
    <definedName name="Input" localSheetId="4">'Alpha blending'!$A$3,'Alpha blending'!$B$5:$M$24,'Alpha blending'!$N$1:$S$1</definedName>
    <definedName name="Input" localSheetId="1">'Altitude colors'!$A$3,'Altitude colors'!$C$5:$F$24,'Altitude colors'!$P$1:$U$1</definedName>
    <definedName name="Input" localSheetId="0">'Climb colors'!$A$3,'Climb colors'!$C$5:$F$24,'Climb colors'!$P$1:$U$1</definedName>
    <definedName name="Input" localSheetId="5">'Color blending'!$A$3,'Color blending'!$B$5:$I$25,'Color blending'!$J$1:$U$1</definedName>
    <definedName name="Input" localSheetId="3">'Gamma correction'!$A$3,'Gamma correction'!$B$5:$M$14,'Gamma correction'!$N$1:$S$1</definedName>
    <definedName name="Input" localSheetId="2">'User interface colors'!$A$3,'User interface colors'!$B$5:$M$47,'User interface colors'!$N$1:$S$1</definedName>
    <definedName name="TextOnBlack1" localSheetId="2">'User interface colors'!$V$1,'User interface colors'!$V$5:$V$47</definedName>
    <definedName name="TextOnBlack2" localSheetId="2">'User interface colors'!$W$1,'User interface colors'!$W$5:$W$47</definedName>
    <definedName name="TextOnButton1" localSheetId="2">'User interface colors'!$Z$1,'User interface colors'!$Z$5:$Z$47</definedName>
    <definedName name="TextOnButton2" localSheetId="2">'User interface colors'!$AA$1,'User interface colors'!$AA$5:$AA$47</definedName>
    <definedName name="TextOnWhite1" localSheetId="2">'User interface colors'!$X$1,'User interface colors'!$X$5:$X$47</definedName>
    <definedName name="TextOnWhite2" localSheetId="2">'User interface colors'!$Y$1,'User interface colors'!$Y$5:$Y$47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0" i="6" l="1"/>
  <c r="M20" i="6" s="1"/>
  <c r="H20" i="6"/>
  <c r="D20" i="6" s="1"/>
  <c r="G20" i="6"/>
  <c r="C20" i="6" s="1"/>
  <c r="O20" i="6" s="1"/>
  <c r="F20" i="6"/>
  <c r="B20" i="6" s="1"/>
  <c r="N20" i="6" l="1"/>
  <c r="P20" i="6"/>
  <c r="I37" i="6"/>
  <c r="M37" i="6" s="1"/>
  <c r="H37" i="6"/>
  <c r="D37" i="6" s="1"/>
  <c r="G37" i="6"/>
  <c r="C37" i="6" s="1"/>
  <c r="O37" i="6" s="1"/>
  <c r="F37" i="6"/>
  <c r="B37" i="6" s="1"/>
  <c r="I36" i="6"/>
  <c r="M36" i="6" s="1"/>
  <c r="H36" i="6"/>
  <c r="D36" i="6" s="1"/>
  <c r="G36" i="6"/>
  <c r="C36" i="6" s="1"/>
  <c r="O36" i="6" s="1"/>
  <c r="F36" i="6"/>
  <c r="B36" i="6" s="1"/>
  <c r="I35" i="6"/>
  <c r="M35" i="6" s="1"/>
  <c r="H35" i="6"/>
  <c r="D35" i="6" s="1"/>
  <c r="G35" i="6"/>
  <c r="C35" i="6" s="1"/>
  <c r="F35" i="6"/>
  <c r="B35" i="6" s="1"/>
  <c r="I34" i="6"/>
  <c r="M34" i="6" s="1"/>
  <c r="H34" i="6"/>
  <c r="D34" i="6" s="1"/>
  <c r="G34" i="6"/>
  <c r="C34" i="6" s="1"/>
  <c r="O34" i="6" s="1"/>
  <c r="F34" i="6"/>
  <c r="B34" i="6" s="1"/>
  <c r="M33" i="6"/>
  <c r="I33" i="6"/>
  <c r="H33" i="6"/>
  <c r="D33" i="6" s="1"/>
  <c r="G33" i="6"/>
  <c r="C33" i="6" s="1"/>
  <c r="F33" i="6"/>
  <c r="B33" i="6"/>
  <c r="M26" i="6"/>
  <c r="I26" i="6"/>
  <c r="H26" i="6"/>
  <c r="D26" i="6" s="1"/>
  <c r="G26" i="6"/>
  <c r="C26" i="6" s="1"/>
  <c r="F26" i="6"/>
  <c r="B26" i="6" s="1"/>
  <c r="I25" i="6"/>
  <c r="M25" i="6" s="1"/>
  <c r="H25" i="6"/>
  <c r="D25" i="6" s="1"/>
  <c r="G25" i="6"/>
  <c r="C25" i="6" s="1"/>
  <c r="O25" i="6" s="1"/>
  <c r="F25" i="6"/>
  <c r="B25" i="6" s="1"/>
  <c r="I29" i="6"/>
  <c r="M29" i="6" s="1"/>
  <c r="H29" i="6"/>
  <c r="D29" i="6" s="1"/>
  <c r="G29" i="6"/>
  <c r="C29" i="6" s="1"/>
  <c r="F29" i="6"/>
  <c r="B29" i="6" s="1"/>
  <c r="I39" i="6"/>
  <c r="M39" i="6" s="1"/>
  <c r="H39" i="6"/>
  <c r="D39" i="6" s="1"/>
  <c r="P39" i="6" s="1"/>
  <c r="G39" i="6"/>
  <c r="C39" i="6" s="1"/>
  <c r="F39" i="6"/>
  <c r="B39" i="6" s="1"/>
  <c r="I38" i="6"/>
  <c r="M38" i="6" s="1"/>
  <c r="H38" i="6"/>
  <c r="D38" i="6" s="1"/>
  <c r="G38" i="6"/>
  <c r="C38" i="6" s="1"/>
  <c r="F38" i="6"/>
  <c r="B38" i="6" s="1"/>
  <c r="I32" i="6"/>
  <c r="M32" i="6" s="1"/>
  <c r="H32" i="6"/>
  <c r="D32" i="6" s="1"/>
  <c r="G32" i="6"/>
  <c r="C32" i="6" s="1"/>
  <c r="F32" i="6"/>
  <c r="B32" i="6" s="1"/>
  <c r="I31" i="6"/>
  <c r="M31" i="6" s="1"/>
  <c r="H31" i="6"/>
  <c r="D31" i="6" s="1"/>
  <c r="G31" i="6"/>
  <c r="C31" i="6" s="1"/>
  <c r="F31" i="6"/>
  <c r="B31" i="6" s="1"/>
  <c r="I30" i="6"/>
  <c r="M30" i="6" s="1"/>
  <c r="H30" i="6"/>
  <c r="G30" i="6"/>
  <c r="C30" i="6" s="1"/>
  <c r="F30" i="6"/>
  <c r="B30" i="6" s="1"/>
  <c r="D30" i="6"/>
  <c r="I28" i="6"/>
  <c r="M28" i="6" s="1"/>
  <c r="H28" i="6"/>
  <c r="D28" i="6" s="1"/>
  <c r="G28" i="6"/>
  <c r="C28" i="6" s="1"/>
  <c r="F28" i="6"/>
  <c r="B28" i="6" s="1"/>
  <c r="N37" i="6" l="1"/>
  <c r="P37" i="6"/>
  <c r="P33" i="6"/>
  <c r="P35" i="6"/>
  <c r="N34" i="6"/>
  <c r="N36" i="6"/>
  <c r="O33" i="6"/>
  <c r="O35" i="6"/>
  <c r="N33" i="6"/>
  <c r="P34" i="6"/>
  <c r="N35" i="6"/>
  <c r="P36" i="6"/>
  <c r="P25" i="6"/>
  <c r="P26" i="6"/>
  <c r="N25" i="6"/>
  <c r="N26" i="6"/>
  <c r="O26" i="6"/>
  <c r="P29" i="6"/>
  <c r="N29" i="6"/>
  <c r="O29" i="6"/>
  <c r="N30" i="6"/>
  <c r="O31" i="6"/>
  <c r="N39" i="6"/>
  <c r="O39" i="6"/>
  <c r="O28" i="6"/>
  <c r="N32" i="6"/>
  <c r="O38" i="6"/>
  <c r="N31" i="6"/>
  <c r="O32" i="6"/>
  <c r="N28" i="6"/>
  <c r="O30" i="6"/>
  <c r="N38" i="6"/>
  <c r="P28" i="6"/>
  <c r="P30" i="6"/>
  <c r="P31" i="6"/>
  <c r="P32" i="6"/>
  <c r="P38" i="6"/>
  <c r="B23" i="5"/>
  <c r="B21" i="5"/>
  <c r="B19" i="5"/>
  <c r="B17" i="5"/>
  <c r="B15" i="5"/>
  <c r="E24" i="5"/>
  <c r="D24" i="5"/>
  <c r="I24" i="5" s="1"/>
  <c r="M24" i="5" s="1"/>
  <c r="C24" i="5"/>
  <c r="H24" i="5" s="1"/>
  <c r="L24" i="5" s="1"/>
  <c r="E22" i="5"/>
  <c r="J22" i="5" s="1"/>
  <c r="N22" i="5" s="1"/>
  <c r="D22" i="5"/>
  <c r="C22" i="5"/>
  <c r="E20" i="5"/>
  <c r="D20" i="5"/>
  <c r="I20" i="5" s="1"/>
  <c r="M20" i="5" s="1"/>
  <c r="C20" i="5"/>
  <c r="H20" i="5" s="1"/>
  <c r="L20" i="5" s="1"/>
  <c r="E18" i="5"/>
  <c r="J18" i="5" s="1"/>
  <c r="N18" i="5" s="1"/>
  <c r="D18" i="5"/>
  <c r="C18" i="5"/>
  <c r="H18" i="5" s="1"/>
  <c r="L18" i="5" s="1"/>
  <c r="E16" i="5"/>
  <c r="D16" i="5"/>
  <c r="I16" i="5" s="1"/>
  <c r="M16" i="5" s="1"/>
  <c r="C16" i="5"/>
  <c r="G24" i="5"/>
  <c r="G22" i="5"/>
  <c r="G20" i="5"/>
  <c r="G18" i="5"/>
  <c r="G16" i="5"/>
  <c r="E10" i="5"/>
  <c r="D10" i="5"/>
  <c r="C10" i="5"/>
  <c r="E8" i="5"/>
  <c r="D8" i="5"/>
  <c r="C8" i="5"/>
  <c r="F6" i="5"/>
  <c r="E6" i="5"/>
  <c r="D6" i="5"/>
  <c r="C6" i="5"/>
  <c r="E14" i="5"/>
  <c r="J14" i="5" s="1"/>
  <c r="N14" i="5" s="1"/>
  <c r="D14" i="5"/>
  <c r="I14" i="5" s="1"/>
  <c r="M14" i="5" s="1"/>
  <c r="C14" i="5"/>
  <c r="H14" i="5" s="1"/>
  <c r="L14" i="5" s="1"/>
  <c r="F7" i="5"/>
  <c r="F8" i="5" s="1"/>
  <c r="E12" i="5"/>
  <c r="J24" i="5"/>
  <c r="N24" i="5" s="1"/>
  <c r="J23" i="5"/>
  <c r="N23" i="5" s="1"/>
  <c r="I23" i="5"/>
  <c r="M23" i="5" s="1"/>
  <c r="H23" i="5"/>
  <c r="L23" i="5" s="1"/>
  <c r="I22" i="5"/>
  <c r="M22" i="5" s="1"/>
  <c r="H22" i="5"/>
  <c r="L22" i="5" s="1"/>
  <c r="J21" i="5"/>
  <c r="N21" i="5" s="1"/>
  <c r="I21" i="5"/>
  <c r="M21" i="5" s="1"/>
  <c r="H21" i="5"/>
  <c r="L21" i="5" s="1"/>
  <c r="J20" i="5"/>
  <c r="N20" i="5" s="1"/>
  <c r="J19" i="5"/>
  <c r="N19" i="5" s="1"/>
  <c r="I19" i="5"/>
  <c r="M19" i="5" s="1"/>
  <c r="H19" i="5"/>
  <c r="L19" i="5" s="1"/>
  <c r="I18" i="5"/>
  <c r="M18" i="5" s="1"/>
  <c r="J17" i="5"/>
  <c r="N17" i="5" s="1"/>
  <c r="I17" i="5"/>
  <c r="M17" i="5" s="1"/>
  <c r="H17" i="5"/>
  <c r="L17" i="5" s="1"/>
  <c r="J16" i="5"/>
  <c r="N16" i="5" s="1"/>
  <c r="H16" i="5"/>
  <c r="L16" i="5" s="1"/>
  <c r="J15" i="5"/>
  <c r="N15" i="5" s="1"/>
  <c r="I15" i="5"/>
  <c r="M15" i="5" s="1"/>
  <c r="H15" i="5"/>
  <c r="L15" i="5" s="1"/>
  <c r="J13" i="5"/>
  <c r="N13" i="5" s="1"/>
  <c r="I13" i="5"/>
  <c r="M13" i="5" s="1"/>
  <c r="H13" i="5"/>
  <c r="L13" i="5" s="1"/>
  <c r="J12" i="5"/>
  <c r="N12" i="5" s="1"/>
  <c r="I12" i="5"/>
  <c r="M12" i="5" s="1"/>
  <c r="H12" i="5"/>
  <c r="L12" i="5" s="1"/>
  <c r="D12" i="5"/>
  <c r="C12" i="5"/>
  <c r="G14" i="5"/>
  <c r="G12" i="5"/>
  <c r="G10" i="5"/>
  <c r="G8" i="5"/>
  <c r="G6" i="5"/>
  <c r="B13" i="5"/>
  <c r="B11" i="5"/>
  <c r="B9" i="5"/>
  <c r="B7" i="5"/>
  <c r="F14" i="4"/>
  <c r="E24" i="4"/>
  <c r="D24" i="4"/>
  <c r="C24" i="4"/>
  <c r="E22" i="4"/>
  <c r="D22" i="4"/>
  <c r="C22" i="4"/>
  <c r="F16" i="4"/>
  <c r="K16" i="4" s="1"/>
  <c r="O16" i="4" s="1"/>
  <c r="E20" i="4"/>
  <c r="D20" i="4"/>
  <c r="C20" i="4"/>
  <c r="E18" i="4"/>
  <c r="D18" i="4"/>
  <c r="C18" i="4"/>
  <c r="B23" i="4"/>
  <c r="B21" i="4"/>
  <c r="B19" i="4"/>
  <c r="B17" i="4"/>
  <c r="G18" i="4"/>
  <c r="E16" i="4"/>
  <c r="J17" i="4"/>
  <c r="N17" i="4" s="1"/>
  <c r="I17" i="4"/>
  <c r="M17" i="4" s="1"/>
  <c r="H17" i="4"/>
  <c r="L17" i="4" s="1"/>
  <c r="J16" i="4"/>
  <c r="N16" i="4" s="1"/>
  <c r="H16" i="4"/>
  <c r="L16" i="4" s="1"/>
  <c r="G16" i="4"/>
  <c r="D16" i="4"/>
  <c r="Q16" i="4" s="1"/>
  <c r="C16" i="4"/>
  <c r="P16" i="4" s="1"/>
  <c r="B11" i="4"/>
  <c r="B9" i="4"/>
  <c r="E12" i="4"/>
  <c r="D12" i="4"/>
  <c r="C12" i="4"/>
  <c r="G12" i="4"/>
  <c r="G10" i="4"/>
  <c r="E10" i="4"/>
  <c r="D10" i="4"/>
  <c r="C10" i="4"/>
  <c r="B7" i="4"/>
  <c r="E6" i="4"/>
  <c r="D6" i="4"/>
  <c r="C6" i="4"/>
  <c r="E8" i="4"/>
  <c r="D8" i="4"/>
  <c r="C8" i="4"/>
  <c r="G8" i="4"/>
  <c r="F6" i="4"/>
  <c r="F7" i="4" s="1"/>
  <c r="F8" i="4" s="1"/>
  <c r="F9" i="4" s="1"/>
  <c r="F10" i="4" s="1"/>
  <c r="G6" i="4"/>
  <c r="J11" i="4"/>
  <c r="N11" i="4" s="1"/>
  <c r="I11" i="4"/>
  <c r="M11" i="4" s="1"/>
  <c r="H11" i="4"/>
  <c r="L11" i="4" s="1"/>
  <c r="J10" i="4"/>
  <c r="N10" i="4" s="1"/>
  <c r="I10" i="4"/>
  <c r="M10" i="4" s="1"/>
  <c r="H10" i="4"/>
  <c r="L10" i="4" s="1"/>
  <c r="F17" i="4" l="1"/>
  <c r="I16" i="4"/>
  <c r="M16" i="4" s="1"/>
  <c r="R16" i="4"/>
  <c r="F9" i="5"/>
  <c r="P17" i="4"/>
  <c r="R10" i="4"/>
  <c r="Q10" i="4"/>
  <c r="P10" i="4"/>
  <c r="F11" i="4"/>
  <c r="F12" i="4" s="1"/>
  <c r="K10" i="4"/>
  <c r="O10" i="4" s="1"/>
  <c r="E12" i="6"/>
  <c r="I12" i="6" s="1"/>
  <c r="M12" i="6" s="1"/>
  <c r="I24" i="6"/>
  <c r="M24" i="6" s="1"/>
  <c r="H24" i="6"/>
  <c r="D24" i="6" s="1"/>
  <c r="G24" i="6"/>
  <c r="C24" i="6" s="1"/>
  <c r="F24" i="6"/>
  <c r="B24" i="6" s="1"/>
  <c r="I23" i="6"/>
  <c r="M23" i="6" s="1"/>
  <c r="H23" i="6"/>
  <c r="D23" i="6" s="1"/>
  <c r="G23" i="6"/>
  <c r="C23" i="6" s="1"/>
  <c r="F23" i="6"/>
  <c r="B23" i="6" s="1"/>
  <c r="I22" i="6"/>
  <c r="M22" i="6" s="1"/>
  <c r="H22" i="6"/>
  <c r="D22" i="6" s="1"/>
  <c r="G22" i="6"/>
  <c r="C22" i="6" s="1"/>
  <c r="F22" i="6"/>
  <c r="B22" i="6" s="1"/>
  <c r="I21" i="6"/>
  <c r="M21" i="6" s="1"/>
  <c r="H21" i="6"/>
  <c r="D21" i="6" s="1"/>
  <c r="G21" i="6"/>
  <c r="C21" i="6" s="1"/>
  <c r="F21" i="6"/>
  <c r="B21" i="6" s="1"/>
  <c r="I19" i="6"/>
  <c r="M19" i="6" s="1"/>
  <c r="H19" i="6"/>
  <c r="D19" i="6" s="1"/>
  <c r="G19" i="6"/>
  <c r="C19" i="6" s="1"/>
  <c r="F19" i="6"/>
  <c r="B19" i="6" s="1"/>
  <c r="I18" i="6"/>
  <c r="M18" i="6" s="1"/>
  <c r="H18" i="6"/>
  <c r="D18" i="6" s="1"/>
  <c r="G18" i="6"/>
  <c r="C18" i="6" s="1"/>
  <c r="F18" i="6"/>
  <c r="B18" i="6" s="1"/>
  <c r="I17" i="6"/>
  <c r="M17" i="6" s="1"/>
  <c r="H17" i="6"/>
  <c r="D17" i="6" s="1"/>
  <c r="G17" i="6"/>
  <c r="C17" i="6" s="1"/>
  <c r="F17" i="6"/>
  <c r="B17" i="6" s="1"/>
  <c r="I16" i="6"/>
  <c r="M16" i="6" s="1"/>
  <c r="H16" i="6"/>
  <c r="D16" i="6" s="1"/>
  <c r="G16" i="6"/>
  <c r="C16" i="6" s="1"/>
  <c r="F16" i="6"/>
  <c r="B16" i="6" s="1"/>
  <c r="I15" i="6"/>
  <c r="M15" i="6" s="1"/>
  <c r="H15" i="6"/>
  <c r="D15" i="6" s="1"/>
  <c r="G15" i="6"/>
  <c r="C15" i="6" s="1"/>
  <c r="F15" i="6"/>
  <c r="B15" i="6" s="1"/>
  <c r="I14" i="6"/>
  <c r="M14" i="6" s="1"/>
  <c r="H14" i="6"/>
  <c r="D14" i="6" s="1"/>
  <c r="G14" i="6"/>
  <c r="C14" i="6" s="1"/>
  <c r="F14" i="6"/>
  <c r="B14" i="6" s="1"/>
  <c r="I13" i="6"/>
  <c r="M13" i="6" s="1"/>
  <c r="H13" i="6"/>
  <c r="D13" i="6" s="1"/>
  <c r="G13" i="6"/>
  <c r="C13" i="6" s="1"/>
  <c r="F13" i="6"/>
  <c r="B13" i="6" s="1"/>
  <c r="H12" i="6"/>
  <c r="D12" i="6" s="1"/>
  <c r="G12" i="6"/>
  <c r="C12" i="6" s="1"/>
  <c r="F12" i="6"/>
  <c r="B12" i="6" s="1"/>
  <c r="F10" i="5" l="1"/>
  <c r="F11" i="5" s="1"/>
  <c r="F18" i="4"/>
  <c r="F19" i="4" s="1"/>
  <c r="F20" i="4" s="1"/>
  <c r="F21" i="4" s="1"/>
  <c r="K17" i="4"/>
  <c r="O17" i="4" s="1"/>
  <c r="Q17" i="4"/>
  <c r="S17" i="4"/>
  <c r="R17" i="4"/>
  <c r="R11" i="4"/>
  <c r="K11" i="4"/>
  <c r="O11" i="4" s="1"/>
  <c r="Q11" i="4"/>
  <c r="P11" i="4"/>
  <c r="I27" i="6"/>
  <c r="M27" i="6" s="1"/>
  <c r="H27" i="6"/>
  <c r="D27" i="6" s="1"/>
  <c r="P27" i="6" s="1"/>
  <c r="G27" i="6"/>
  <c r="C27" i="6" s="1"/>
  <c r="O27" i="6" s="1"/>
  <c r="F27" i="6"/>
  <c r="B27" i="6" s="1"/>
  <c r="N27" i="6" s="1"/>
  <c r="L47" i="6"/>
  <c r="K47" i="6"/>
  <c r="J47" i="6"/>
  <c r="I47" i="6"/>
  <c r="M47" i="6" s="1"/>
  <c r="D47" i="6"/>
  <c r="P47" i="6" s="1"/>
  <c r="C47" i="6"/>
  <c r="O47" i="6" s="1"/>
  <c r="B47" i="6"/>
  <c r="N47" i="6" s="1"/>
  <c r="L46" i="6"/>
  <c r="K46" i="6"/>
  <c r="J46" i="6"/>
  <c r="I46" i="6"/>
  <c r="M46" i="6" s="1"/>
  <c r="D46" i="6"/>
  <c r="P46" i="6" s="1"/>
  <c r="C46" i="6"/>
  <c r="O46" i="6" s="1"/>
  <c r="B46" i="6"/>
  <c r="N46" i="6" s="1"/>
  <c r="I45" i="6"/>
  <c r="E45" i="6" s="1"/>
  <c r="H45" i="6"/>
  <c r="D45" i="6" s="1"/>
  <c r="G45" i="6"/>
  <c r="C45" i="6" s="1"/>
  <c r="F45" i="6"/>
  <c r="B45" i="6" s="1"/>
  <c r="I44" i="6"/>
  <c r="E44" i="6" s="1"/>
  <c r="H44" i="6"/>
  <c r="D44" i="6" s="1"/>
  <c r="G44" i="6"/>
  <c r="C44" i="6" s="1"/>
  <c r="F44" i="6"/>
  <c r="B44" i="6" s="1"/>
  <c r="M43" i="6"/>
  <c r="L43" i="6"/>
  <c r="K43" i="6"/>
  <c r="J43" i="6"/>
  <c r="E43" i="6"/>
  <c r="O43" i="6" s="1"/>
  <c r="D43" i="6"/>
  <c r="C43" i="6"/>
  <c r="B43" i="6"/>
  <c r="M42" i="6"/>
  <c r="L42" i="6"/>
  <c r="K42" i="6"/>
  <c r="J42" i="6"/>
  <c r="E42" i="6"/>
  <c r="D42" i="6"/>
  <c r="C42" i="6"/>
  <c r="B42" i="6"/>
  <c r="P41" i="6"/>
  <c r="O41" i="6"/>
  <c r="N41" i="6"/>
  <c r="I41" i="6"/>
  <c r="M41" i="6" s="1"/>
  <c r="H41" i="6"/>
  <c r="L41" i="6" s="1"/>
  <c r="G41" i="6"/>
  <c r="K41" i="6" s="1"/>
  <c r="F41" i="6"/>
  <c r="J41" i="6" s="1"/>
  <c r="P40" i="6"/>
  <c r="O40" i="6"/>
  <c r="N40" i="6"/>
  <c r="I40" i="6"/>
  <c r="M40" i="6" s="1"/>
  <c r="H40" i="6"/>
  <c r="L40" i="6" s="1"/>
  <c r="G40" i="6"/>
  <c r="K40" i="6" s="1"/>
  <c r="F40" i="6"/>
  <c r="J40" i="6" s="1"/>
  <c r="V6" i="6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W5" i="6"/>
  <c r="X5" i="6" s="1"/>
  <c r="Z3" i="6"/>
  <c r="O24" i="6"/>
  <c r="N24" i="6"/>
  <c r="P23" i="6"/>
  <c r="O23" i="6"/>
  <c r="N22" i="6"/>
  <c r="I11" i="6"/>
  <c r="M11" i="6" s="1"/>
  <c r="H11" i="6"/>
  <c r="D11" i="6" s="1"/>
  <c r="G11" i="6"/>
  <c r="C11" i="6" s="1"/>
  <c r="O11" i="6" s="1"/>
  <c r="F11" i="6"/>
  <c r="B11" i="6" s="1"/>
  <c r="N11" i="6" s="1"/>
  <c r="I10" i="6"/>
  <c r="M10" i="6" s="1"/>
  <c r="H10" i="6"/>
  <c r="D10" i="6" s="1"/>
  <c r="P10" i="6" s="1"/>
  <c r="G10" i="6"/>
  <c r="C10" i="6" s="1"/>
  <c r="O10" i="6" s="1"/>
  <c r="F10" i="6"/>
  <c r="B10" i="6" s="1"/>
  <c r="I9" i="6"/>
  <c r="M9" i="6" s="1"/>
  <c r="H9" i="6"/>
  <c r="D9" i="6" s="1"/>
  <c r="G9" i="6"/>
  <c r="C9" i="6" s="1"/>
  <c r="O9" i="6" s="1"/>
  <c r="F9" i="6"/>
  <c r="B9" i="6" s="1"/>
  <c r="I8" i="6"/>
  <c r="M8" i="6" s="1"/>
  <c r="H8" i="6"/>
  <c r="D8" i="6" s="1"/>
  <c r="G8" i="6"/>
  <c r="C8" i="6" s="1"/>
  <c r="O8" i="6" s="1"/>
  <c r="F8" i="6"/>
  <c r="B8" i="6" s="1"/>
  <c r="I7" i="6"/>
  <c r="M7" i="6" s="1"/>
  <c r="H7" i="6"/>
  <c r="D7" i="6" s="1"/>
  <c r="G7" i="6"/>
  <c r="C7" i="6" s="1"/>
  <c r="F7" i="6"/>
  <c r="B7" i="6" s="1"/>
  <c r="X3" i="6"/>
  <c r="V3" i="6"/>
  <c r="I6" i="6"/>
  <c r="M6" i="6" s="1"/>
  <c r="H6" i="6"/>
  <c r="D6" i="6" s="1"/>
  <c r="G6" i="6"/>
  <c r="C6" i="6" s="1"/>
  <c r="O6" i="6" s="1"/>
  <c r="F6" i="6"/>
  <c r="B6" i="6" s="1"/>
  <c r="I5" i="6"/>
  <c r="M5" i="6" s="1"/>
  <c r="H5" i="6"/>
  <c r="D5" i="6" s="1"/>
  <c r="P5" i="6" s="1"/>
  <c r="G5" i="6"/>
  <c r="C5" i="6" s="1"/>
  <c r="O5" i="6" s="1"/>
  <c r="F5" i="6"/>
  <c r="B5" i="6" s="1"/>
  <c r="N5" i="6" s="1"/>
  <c r="U4" i="6"/>
  <c r="V4" i="6" s="1"/>
  <c r="W4" i="6" s="1"/>
  <c r="X4" i="6" s="1"/>
  <c r="Y4" i="6" s="1"/>
  <c r="Z4" i="6" s="1"/>
  <c r="AA4" i="6" s="1"/>
  <c r="I4" i="6"/>
  <c r="M4" i="6" s="1"/>
  <c r="H4" i="6"/>
  <c r="L4" i="6" s="1"/>
  <c r="P4" i="6" s="1"/>
  <c r="S4" i="6" s="1"/>
  <c r="G4" i="6"/>
  <c r="K4" i="6" s="1"/>
  <c r="O4" i="6" s="1"/>
  <c r="R4" i="6" s="1"/>
  <c r="F4" i="6"/>
  <c r="J4" i="6" s="1"/>
  <c r="N4" i="6" s="1"/>
  <c r="Q4" i="6" s="1"/>
  <c r="T3" i="6"/>
  <c r="Q3" i="6"/>
  <c r="U3" i="6" s="1"/>
  <c r="S1" i="6"/>
  <c r="R1" i="6"/>
  <c r="Q1" i="6"/>
  <c r="J11" i="5"/>
  <c r="N11" i="5" s="1"/>
  <c r="I11" i="5"/>
  <c r="M11" i="5" s="1"/>
  <c r="H11" i="5"/>
  <c r="L11" i="5" s="1"/>
  <c r="R10" i="5"/>
  <c r="Q10" i="5"/>
  <c r="P10" i="5"/>
  <c r="K10" i="5"/>
  <c r="O10" i="5" s="1"/>
  <c r="J10" i="5"/>
  <c r="N10" i="5" s="1"/>
  <c r="I10" i="5"/>
  <c r="M10" i="5" s="1"/>
  <c r="H10" i="5"/>
  <c r="L10" i="5" s="1"/>
  <c r="R9" i="5"/>
  <c r="Q9" i="5"/>
  <c r="P9" i="5"/>
  <c r="K9" i="5"/>
  <c r="O9" i="5" s="1"/>
  <c r="J9" i="5"/>
  <c r="N9" i="5" s="1"/>
  <c r="I9" i="5"/>
  <c r="M9" i="5" s="1"/>
  <c r="H9" i="5"/>
  <c r="L9" i="5" s="1"/>
  <c r="R8" i="5"/>
  <c r="Q8" i="5"/>
  <c r="P8" i="5"/>
  <c r="K8" i="5"/>
  <c r="O8" i="5" s="1"/>
  <c r="J8" i="5"/>
  <c r="N8" i="5" s="1"/>
  <c r="I8" i="5"/>
  <c r="M8" i="5" s="1"/>
  <c r="H8" i="5"/>
  <c r="L8" i="5" s="1"/>
  <c r="R7" i="5"/>
  <c r="Q7" i="5"/>
  <c r="P7" i="5"/>
  <c r="K7" i="5"/>
  <c r="O7" i="5" s="1"/>
  <c r="J7" i="5"/>
  <c r="N7" i="5" s="1"/>
  <c r="I7" i="5"/>
  <c r="M7" i="5" s="1"/>
  <c r="H7" i="5"/>
  <c r="L7" i="5" s="1"/>
  <c r="R6" i="5"/>
  <c r="Q6" i="5"/>
  <c r="P6" i="5"/>
  <c r="K6" i="5"/>
  <c r="O6" i="5" s="1"/>
  <c r="J6" i="5"/>
  <c r="N6" i="5" s="1"/>
  <c r="I6" i="5"/>
  <c r="M6" i="5" s="1"/>
  <c r="H6" i="5"/>
  <c r="L6" i="5" s="1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R5" i="5"/>
  <c r="Q5" i="5"/>
  <c r="P5" i="5"/>
  <c r="K5" i="5"/>
  <c r="O5" i="5" s="1"/>
  <c r="J5" i="5"/>
  <c r="N5" i="5" s="1"/>
  <c r="I5" i="5"/>
  <c r="M5" i="5" s="1"/>
  <c r="H5" i="5"/>
  <c r="L5" i="5" s="1"/>
  <c r="W4" i="5"/>
  <c r="K4" i="5"/>
  <c r="O4" i="5" s="1"/>
  <c r="J4" i="5"/>
  <c r="N4" i="5" s="1"/>
  <c r="R4" i="5" s="1"/>
  <c r="U4" i="5" s="1"/>
  <c r="I4" i="5"/>
  <c r="M4" i="5" s="1"/>
  <c r="Q4" i="5" s="1"/>
  <c r="T4" i="5" s="1"/>
  <c r="H4" i="5"/>
  <c r="L4" i="5" s="1"/>
  <c r="P4" i="5" s="1"/>
  <c r="S4" i="5" s="1"/>
  <c r="V3" i="5"/>
  <c r="S3" i="5"/>
  <c r="W3" i="5" s="1"/>
  <c r="U1" i="5"/>
  <c r="U10" i="5" s="1"/>
  <c r="T1" i="5"/>
  <c r="T10" i="5" s="1"/>
  <c r="S1" i="5"/>
  <c r="S21" i="4"/>
  <c r="R21" i="4"/>
  <c r="Q21" i="4"/>
  <c r="P21" i="4"/>
  <c r="K21" i="4"/>
  <c r="O21" i="4" s="1"/>
  <c r="J21" i="4"/>
  <c r="N21" i="4" s="1"/>
  <c r="I21" i="4"/>
  <c r="M21" i="4" s="1"/>
  <c r="H21" i="4"/>
  <c r="L21" i="4" s="1"/>
  <c r="R20" i="4"/>
  <c r="Q20" i="4"/>
  <c r="P20" i="4"/>
  <c r="K20" i="4"/>
  <c r="O20" i="4" s="1"/>
  <c r="J20" i="4"/>
  <c r="N20" i="4" s="1"/>
  <c r="I20" i="4"/>
  <c r="M20" i="4" s="1"/>
  <c r="H20" i="4"/>
  <c r="L20" i="4" s="1"/>
  <c r="R19" i="4"/>
  <c r="Q19" i="4"/>
  <c r="P19" i="4"/>
  <c r="K19" i="4"/>
  <c r="O19" i="4" s="1"/>
  <c r="J19" i="4"/>
  <c r="N19" i="4" s="1"/>
  <c r="I19" i="4"/>
  <c r="M19" i="4" s="1"/>
  <c r="H19" i="4"/>
  <c r="L19" i="4" s="1"/>
  <c r="S18" i="4"/>
  <c r="R18" i="4"/>
  <c r="Q18" i="4"/>
  <c r="P18" i="4"/>
  <c r="K18" i="4"/>
  <c r="O18" i="4" s="1"/>
  <c r="J18" i="4"/>
  <c r="N18" i="4" s="1"/>
  <c r="I18" i="4"/>
  <c r="M18" i="4" s="1"/>
  <c r="H18" i="4"/>
  <c r="L18" i="4" s="1"/>
  <c r="R15" i="4"/>
  <c r="Q15" i="4"/>
  <c r="P15" i="4"/>
  <c r="K15" i="4"/>
  <c r="O15" i="4" s="1"/>
  <c r="J15" i="4"/>
  <c r="N15" i="4" s="1"/>
  <c r="I15" i="4"/>
  <c r="M15" i="4" s="1"/>
  <c r="H15" i="4"/>
  <c r="L15" i="4" s="1"/>
  <c r="S14" i="4"/>
  <c r="R14" i="4"/>
  <c r="Q14" i="4"/>
  <c r="P14" i="4"/>
  <c r="K14" i="4"/>
  <c r="O14" i="4" s="1"/>
  <c r="J14" i="4"/>
  <c r="N14" i="4" s="1"/>
  <c r="I14" i="4"/>
  <c r="M14" i="4" s="1"/>
  <c r="H14" i="4"/>
  <c r="L14" i="4" s="1"/>
  <c r="K13" i="4"/>
  <c r="O13" i="4" s="1"/>
  <c r="R6" i="4"/>
  <c r="Q6" i="4"/>
  <c r="P6" i="4"/>
  <c r="K6" i="4"/>
  <c r="O6" i="4" s="1"/>
  <c r="J6" i="4"/>
  <c r="N6" i="4" s="1"/>
  <c r="I6" i="4"/>
  <c r="M6" i="4" s="1"/>
  <c r="H6" i="4"/>
  <c r="L6" i="4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R5" i="4"/>
  <c r="Q5" i="4"/>
  <c r="P5" i="4"/>
  <c r="K5" i="4"/>
  <c r="O5" i="4" s="1"/>
  <c r="J5" i="4"/>
  <c r="N5" i="4" s="1"/>
  <c r="I5" i="4"/>
  <c r="M5" i="4" s="1"/>
  <c r="H5" i="4"/>
  <c r="L5" i="4" s="1"/>
  <c r="W4" i="4"/>
  <c r="K4" i="4"/>
  <c r="O4" i="4" s="1"/>
  <c r="J4" i="4"/>
  <c r="N4" i="4" s="1"/>
  <c r="R4" i="4" s="1"/>
  <c r="U4" i="4" s="1"/>
  <c r="I4" i="4"/>
  <c r="M4" i="4" s="1"/>
  <c r="Q4" i="4" s="1"/>
  <c r="T4" i="4" s="1"/>
  <c r="H4" i="4"/>
  <c r="L4" i="4" s="1"/>
  <c r="P4" i="4" s="1"/>
  <c r="S4" i="4" s="1"/>
  <c r="V3" i="4"/>
  <c r="S3" i="4"/>
  <c r="W3" i="4" s="1"/>
  <c r="U1" i="4"/>
  <c r="U11" i="4" s="1"/>
  <c r="T1" i="4"/>
  <c r="S1" i="4"/>
  <c r="S19" i="4" s="1"/>
  <c r="V20" i="6" l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V47" i="6" s="1"/>
  <c r="F12" i="5"/>
  <c r="U11" i="5"/>
  <c r="R11" i="5"/>
  <c r="Q11" i="5"/>
  <c r="P11" i="5"/>
  <c r="K11" i="5"/>
  <c r="O11" i="5" s="1"/>
  <c r="T5" i="4"/>
  <c r="T16" i="4"/>
  <c r="T10" i="4"/>
  <c r="T14" i="4"/>
  <c r="S15" i="4"/>
  <c r="T15" i="4"/>
  <c r="T18" i="4"/>
  <c r="T6" i="5"/>
  <c r="T11" i="4"/>
  <c r="U17" i="4"/>
  <c r="S5" i="4"/>
  <c r="S16" i="4"/>
  <c r="S10" i="4"/>
  <c r="T19" i="4"/>
  <c r="S20" i="4"/>
  <c r="U6" i="5"/>
  <c r="U7" i="5"/>
  <c r="U8" i="5"/>
  <c r="Q40" i="6"/>
  <c r="Q20" i="6"/>
  <c r="Q33" i="6"/>
  <c r="Q30" i="6"/>
  <c r="Q37" i="6"/>
  <c r="Q34" i="6"/>
  <c r="Q32" i="6"/>
  <c r="Q28" i="6"/>
  <c r="Q38" i="6"/>
  <c r="Q36" i="6"/>
  <c r="Q25" i="6"/>
  <c r="Q29" i="6"/>
  <c r="Q39" i="6"/>
  <c r="Q35" i="6"/>
  <c r="Q26" i="6"/>
  <c r="Q31" i="6"/>
  <c r="T20" i="4"/>
  <c r="U5" i="4"/>
  <c r="U10" i="4"/>
  <c r="U16" i="4"/>
  <c r="S6" i="4"/>
  <c r="T21" i="4"/>
  <c r="R20" i="6"/>
  <c r="R29" i="6"/>
  <c r="R39" i="6"/>
  <c r="R35" i="6"/>
  <c r="R26" i="6"/>
  <c r="R25" i="6"/>
  <c r="R28" i="6"/>
  <c r="R32" i="6"/>
  <c r="R31" i="6"/>
  <c r="R37" i="6"/>
  <c r="R34" i="6"/>
  <c r="R38" i="6"/>
  <c r="R30" i="6"/>
  <c r="R33" i="6"/>
  <c r="R36" i="6"/>
  <c r="W6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F22" i="4"/>
  <c r="K22" i="4" s="1"/>
  <c r="O22" i="4" s="1"/>
  <c r="T6" i="4"/>
  <c r="S20" i="6"/>
  <c r="S34" i="6"/>
  <c r="S30" i="6"/>
  <c r="S25" i="6"/>
  <c r="S35" i="6"/>
  <c r="S32" i="6"/>
  <c r="S36" i="6"/>
  <c r="S37" i="6"/>
  <c r="S26" i="6"/>
  <c r="S31" i="6"/>
  <c r="S29" i="6"/>
  <c r="S38" i="6"/>
  <c r="S39" i="6"/>
  <c r="S28" i="6"/>
  <c r="S33" i="6"/>
  <c r="S40" i="6"/>
  <c r="S11" i="4"/>
  <c r="T17" i="4"/>
  <c r="Y5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S46" i="6"/>
  <c r="R27" i="6"/>
  <c r="Q47" i="6"/>
  <c r="R41" i="6"/>
  <c r="R46" i="6"/>
  <c r="Q41" i="6"/>
  <c r="S41" i="6"/>
  <c r="S47" i="6"/>
  <c r="S27" i="6"/>
  <c r="S42" i="6"/>
  <c r="R40" i="6"/>
  <c r="R43" i="6"/>
  <c r="R47" i="6"/>
  <c r="R7" i="6"/>
  <c r="Q46" i="6"/>
  <c r="Q27" i="6"/>
  <c r="R45" i="6"/>
  <c r="N45" i="6"/>
  <c r="Q45" i="6"/>
  <c r="P45" i="6"/>
  <c r="S45" i="6"/>
  <c r="O45" i="6"/>
  <c r="Q43" i="6"/>
  <c r="P43" i="6"/>
  <c r="S43" i="6"/>
  <c r="N43" i="6"/>
  <c r="Q42" i="6"/>
  <c r="N42" i="6"/>
  <c r="O44" i="6"/>
  <c r="S44" i="6"/>
  <c r="P44" i="6"/>
  <c r="N17" i="6"/>
  <c r="P18" i="6"/>
  <c r="AA3" i="6"/>
  <c r="P21" i="6"/>
  <c r="R18" i="6"/>
  <c r="Q44" i="6"/>
  <c r="N44" i="6"/>
  <c r="R44" i="6"/>
  <c r="R42" i="6"/>
  <c r="O42" i="6"/>
  <c r="P42" i="6"/>
  <c r="O19" i="6"/>
  <c r="P16" i="6"/>
  <c r="N13" i="6"/>
  <c r="Y3" i="6"/>
  <c r="W3" i="6"/>
  <c r="O15" i="6"/>
  <c r="N15" i="6"/>
  <c r="P14" i="6"/>
  <c r="O14" i="6"/>
  <c r="P7" i="6"/>
  <c r="S7" i="6"/>
  <c r="Q8" i="6"/>
  <c r="N8" i="6"/>
  <c r="S9" i="6"/>
  <c r="P9" i="6"/>
  <c r="S13" i="6"/>
  <c r="P13" i="6"/>
  <c r="S17" i="6"/>
  <c r="P17" i="6"/>
  <c r="O22" i="6"/>
  <c r="R22" i="6"/>
  <c r="Q10" i="6"/>
  <c r="N10" i="6"/>
  <c r="Q14" i="6"/>
  <c r="N14" i="6"/>
  <c r="Q18" i="6"/>
  <c r="N18" i="6"/>
  <c r="S19" i="6"/>
  <c r="P19" i="6"/>
  <c r="S22" i="6"/>
  <c r="P22" i="6"/>
  <c r="N7" i="6"/>
  <c r="Q7" i="6"/>
  <c r="P8" i="6"/>
  <c r="S8" i="6"/>
  <c r="N9" i="6"/>
  <c r="Q9" i="6"/>
  <c r="S11" i="6"/>
  <c r="P11" i="6"/>
  <c r="Q21" i="6"/>
  <c r="N21" i="6"/>
  <c r="Q23" i="6"/>
  <c r="N23" i="6"/>
  <c r="S24" i="6"/>
  <c r="P24" i="6"/>
  <c r="Q12" i="6"/>
  <c r="N12" i="6"/>
  <c r="O7" i="6"/>
  <c r="R8" i="6"/>
  <c r="R10" i="6"/>
  <c r="R14" i="6"/>
  <c r="R21" i="6"/>
  <c r="R23" i="6"/>
  <c r="S10" i="6"/>
  <c r="Q11" i="6"/>
  <c r="S12" i="6"/>
  <c r="Q13" i="6"/>
  <c r="S14" i="6"/>
  <c r="Q15" i="6"/>
  <c r="S16" i="6"/>
  <c r="Q17" i="6"/>
  <c r="S18" i="6"/>
  <c r="Q19" i="6"/>
  <c r="S21" i="6"/>
  <c r="Q22" i="6"/>
  <c r="S23" i="6"/>
  <c r="Q24" i="6"/>
  <c r="R9" i="6"/>
  <c r="R11" i="6"/>
  <c r="R13" i="6"/>
  <c r="R15" i="6"/>
  <c r="R17" i="6"/>
  <c r="R19" i="6"/>
  <c r="R24" i="6"/>
  <c r="S6" i="6"/>
  <c r="S5" i="6"/>
  <c r="P6" i="6"/>
  <c r="N6" i="6"/>
  <c r="Q6" i="6"/>
  <c r="R5" i="6"/>
  <c r="Q5" i="6"/>
  <c r="R6" i="6"/>
  <c r="S5" i="5"/>
  <c r="S9" i="5"/>
  <c r="T9" i="5"/>
  <c r="U5" i="5"/>
  <c r="S7" i="5"/>
  <c r="T8" i="5"/>
  <c r="U9" i="5"/>
  <c r="S11" i="5"/>
  <c r="T5" i="5"/>
  <c r="S8" i="5"/>
  <c r="S6" i="5"/>
  <c r="T7" i="5"/>
  <c r="S10" i="5"/>
  <c r="T11" i="5"/>
  <c r="U21" i="4"/>
  <c r="U19" i="4"/>
  <c r="U15" i="4"/>
  <c r="U6" i="4"/>
  <c r="U14" i="4"/>
  <c r="U18" i="4"/>
  <c r="U20" i="4"/>
  <c r="W20" i="6" l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W36" i="6" s="1"/>
  <c r="W37" i="6" s="1"/>
  <c r="W38" i="6" s="1"/>
  <c r="W39" i="6" s="1"/>
  <c r="W40" i="6" s="1"/>
  <c r="W41" i="6" s="1"/>
  <c r="W42" i="6" s="1"/>
  <c r="W43" i="6" s="1"/>
  <c r="W44" i="6" s="1"/>
  <c r="W45" i="6" s="1"/>
  <c r="W46" i="6" s="1"/>
  <c r="W47" i="6" s="1"/>
  <c r="X20" i="6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X36" i="6" s="1"/>
  <c r="X37" i="6" s="1"/>
  <c r="X38" i="6" s="1"/>
  <c r="X39" i="6" s="1"/>
  <c r="X40" i="6" s="1"/>
  <c r="X41" i="6" s="1"/>
  <c r="X42" i="6" s="1"/>
  <c r="X43" i="6" s="1"/>
  <c r="X44" i="6" s="1"/>
  <c r="X45" i="6" s="1"/>
  <c r="X46" i="6" s="1"/>
  <c r="X47" i="6" s="1"/>
  <c r="Q12" i="5"/>
  <c r="F13" i="5"/>
  <c r="R12" i="5"/>
  <c r="T12" i="5"/>
  <c r="P12" i="5"/>
  <c r="U12" i="5"/>
  <c r="S12" i="5"/>
  <c r="K12" i="5"/>
  <c r="O12" i="5" s="1"/>
  <c r="F23" i="4"/>
  <c r="Z5" i="6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R12" i="6"/>
  <c r="O18" i="6"/>
  <c r="O17" i="6"/>
  <c r="O21" i="6"/>
  <c r="N19" i="6"/>
  <c r="Q16" i="6"/>
  <c r="N16" i="6"/>
  <c r="P12" i="6"/>
  <c r="O16" i="6"/>
  <c r="R16" i="6"/>
  <c r="P15" i="6"/>
  <c r="S15" i="6"/>
  <c r="O12" i="6"/>
  <c r="O13" i="6"/>
  <c r="I13" i="2"/>
  <c r="M13" i="2" s="1"/>
  <c r="I11" i="2"/>
  <c r="M11" i="2" s="1"/>
  <c r="H13" i="2"/>
  <c r="D13" i="2" s="1"/>
  <c r="G13" i="2"/>
  <c r="C13" i="2" s="1"/>
  <c r="F13" i="2"/>
  <c r="B13" i="2" s="1"/>
  <c r="B14" i="2" s="1"/>
  <c r="E14" i="2"/>
  <c r="E12" i="2"/>
  <c r="L11" i="2"/>
  <c r="K11" i="2"/>
  <c r="J11" i="2"/>
  <c r="D11" i="2"/>
  <c r="D12" i="2" s="1"/>
  <c r="C11" i="2"/>
  <c r="O11" i="2" s="1"/>
  <c r="B11" i="2"/>
  <c r="N11" i="2" s="1"/>
  <c r="S5" i="2"/>
  <c r="Q5" i="2"/>
  <c r="P5" i="2"/>
  <c r="O5" i="2"/>
  <c r="N5" i="2"/>
  <c r="T3" i="2"/>
  <c r="S1" i="2"/>
  <c r="R1" i="2"/>
  <c r="R5" i="2" s="1"/>
  <c r="Q1" i="2"/>
  <c r="Q3" i="2"/>
  <c r="U3" i="2" s="1"/>
  <c r="U4" i="2"/>
  <c r="B22" i="1"/>
  <c r="I22" i="1"/>
  <c r="M22" i="1" s="1"/>
  <c r="I21" i="1"/>
  <c r="M21" i="1" s="1"/>
  <c r="H22" i="1"/>
  <c r="D22" i="1" s="1"/>
  <c r="G22" i="1"/>
  <c r="C22" i="1" s="1"/>
  <c r="F22" i="1"/>
  <c r="H21" i="1"/>
  <c r="D21" i="1" s="1"/>
  <c r="G21" i="1"/>
  <c r="C21" i="1" s="1"/>
  <c r="F21" i="1"/>
  <c r="B21" i="1" s="1"/>
  <c r="I18" i="1"/>
  <c r="M18" i="1" s="1"/>
  <c r="L18" i="1"/>
  <c r="K18" i="1"/>
  <c r="J18" i="1"/>
  <c r="D18" i="1"/>
  <c r="P18" i="1" s="1"/>
  <c r="C18" i="1"/>
  <c r="O18" i="1" s="1"/>
  <c r="B18" i="1"/>
  <c r="S6" i="1"/>
  <c r="S5" i="1"/>
  <c r="P6" i="1"/>
  <c r="O6" i="1"/>
  <c r="N6" i="1"/>
  <c r="P5" i="1"/>
  <c r="O5" i="1"/>
  <c r="N5" i="1"/>
  <c r="T3" i="1"/>
  <c r="U4" i="1"/>
  <c r="S1" i="1"/>
  <c r="R1" i="1"/>
  <c r="R18" i="1" s="1"/>
  <c r="Q1" i="1"/>
  <c r="Q3" i="1"/>
  <c r="U3" i="1" s="1"/>
  <c r="W4" i="3"/>
  <c r="X4" i="3" s="1"/>
  <c r="Y4" i="3" s="1"/>
  <c r="X3" i="3"/>
  <c r="O1" i="3"/>
  <c r="O5" i="3" s="1"/>
  <c r="N1" i="3"/>
  <c r="N25" i="3" s="1"/>
  <c r="P3" i="3"/>
  <c r="M1" i="3"/>
  <c r="M5" i="3" s="1"/>
  <c r="O13" i="2" l="1"/>
  <c r="C14" i="2"/>
  <c r="R14" i="2" s="1"/>
  <c r="R13" i="2"/>
  <c r="P13" i="2"/>
  <c r="D14" i="2"/>
  <c r="S13" i="2"/>
  <c r="Y20" i="6"/>
  <c r="Y21" i="6" s="1"/>
  <c r="Y22" i="6" s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F14" i="5"/>
  <c r="S13" i="5"/>
  <c r="K13" i="5"/>
  <c r="O13" i="5" s="1"/>
  <c r="R13" i="5"/>
  <c r="T13" i="5"/>
  <c r="U13" i="5"/>
  <c r="Q13" i="5"/>
  <c r="P13" i="5"/>
  <c r="F24" i="4"/>
  <c r="K24" i="4" s="1"/>
  <c r="O24" i="4" s="1"/>
  <c r="K23" i="4"/>
  <c r="O23" i="4" s="1"/>
  <c r="O25" i="3"/>
  <c r="S18" i="1"/>
  <c r="R6" i="1"/>
  <c r="R5" i="1"/>
  <c r="AA5" i="6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Z6" i="6"/>
  <c r="Z7" i="6" s="1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Q11" i="2"/>
  <c r="B12" i="2"/>
  <c r="N12" i="2" s="1"/>
  <c r="P12" i="2"/>
  <c r="H12" i="2"/>
  <c r="L12" i="2" s="1"/>
  <c r="S12" i="2"/>
  <c r="I14" i="2"/>
  <c r="M14" i="2" s="1"/>
  <c r="S14" i="2"/>
  <c r="P14" i="2"/>
  <c r="N14" i="2"/>
  <c r="F14" i="2"/>
  <c r="J14" i="2" s="1"/>
  <c r="Q14" i="2"/>
  <c r="P11" i="2"/>
  <c r="H14" i="2"/>
  <c r="L14" i="2" s="1"/>
  <c r="R11" i="2"/>
  <c r="C12" i="2"/>
  <c r="I12" i="2"/>
  <c r="M12" i="2" s="1"/>
  <c r="N13" i="2"/>
  <c r="G14" i="2"/>
  <c r="K14" i="2" s="1"/>
  <c r="O14" i="2"/>
  <c r="S11" i="2"/>
  <c r="Q13" i="2"/>
  <c r="Q18" i="1"/>
  <c r="Q5" i="1"/>
  <c r="Q6" i="1"/>
  <c r="N18" i="1"/>
  <c r="M25" i="3"/>
  <c r="N5" i="3"/>
  <c r="R1" i="3"/>
  <c r="Q1" i="3"/>
  <c r="P1" i="3"/>
  <c r="L25" i="3"/>
  <c r="K25" i="3"/>
  <c r="J25" i="3"/>
  <c r="L5" i="3"/>
  <c r="K5" i="3"/>
  <c r="J5" i="3"/>
  <c r="Q12" i="2" l="1"/>
  <c r="Z20" i="6"/>
  <c r="Z21" i="6" s="1"/>
  <c r="Z22" i="6" s="1"/>
  <c r="Z23" i="6" s="1"/>
  <c r="Z24" i="6" s="1"/>
  <c r="Z25" i="6" s="1"/>
  <c r="Z26" i="6" s="1"/>
  <c r="Z27" i="6" s="1"/>
  <c r="Z28" i="6" s="1"/>
  <c r="Z29" i="6" s="1"/>
  <c r="Z30" i="6" s="1"/>
  <c r="Z31" i="6" s="1"/>
  <c r="Z32" i="6" s="1"/>
  <c r="Z33" i="6" s="1"/>
  <c r="Z34" i="6" s="1"/>
  <c r="Z35" i="6" s="1"/>
  <c r="Z36" i="6" s="1"/>
  <c r="Z37" i="6" s="1"/>
  <c r="Z38" i="6" s="1"/>
  <c r="Z39" i="6" s="1"/>
  <c r="Z40" i="6" s="1"/>
  <c r="Z41" i="6" s="1"/>
  <c r="Z42" i="6" s="1"/>
  <c r="Z43" i="6" s="1"/>
  <c r="Z44" i="6" s="1"/>
  <c r="Z45" i="6" s="1"/>
  <c r="Z46" i="6" s="1"/>
  <c r="Z47" i="6" s="1"/>
  <c r="AA20" i="6"/>
  <c r="AA21" i="6" s="1"/>
  <c r="AA22" i="6" s="1"/>
  <c r="AA23" i="6" s="1"/>
  <c r="AA24" i="6" s="1"/>
  <c r="AA25" i="6" s="1"/>
  <c r="AA26" i="6" s="1"/>
  <c r="AA27" i="6" s="1"/>
  <c r="AA28" i="6" s="1"/>
  <c r="AA29" i="6" s="1"/>
  <c r="AA30" i="6" s="1"/>
  <c r="AA31" i="6" s="1"/>
  <c r="AA32" i="6" s="1"/>
  <c r="AA33" i="6" s="1"/>
  <c r="AA34" i="6" s="1"/>
  <c r="AA35" i="6" s="1"/>
  <c r="AA36" i="6" s="1"/>
  <c r="AA37" i="6" s="1"/>
  <c r="AA38" i="6" s="1"/>
  <c r="AA39" i="6" s="1"/>
  <c r="AA40" i="6" s="1"/>
  <c r="AA41" i="6" s="1"/>
  <c r="AA42" i="6" s="1"/>
  <c r="AA43" i="6" s="1"/>
  <c r="AA44" i="6" s="1"/>
  <c r="AA45" i="6" s="1"/>
  <c r="AA46" i="6" s="1"/>
  <c r="AA47" i="6" s="1"/>
  <c r="F12" i="2"/>
  <c r="J12" i="2" s="1"/>
  <c r="F15" i="5"/>
  <c r="T14" i="5"/>
  <c r="P14" i="5"/>
  <c r="S14" i="5"/>
  <c r="K14" i="5"/>
  <c r="O14" i="5" s="1"/>
  <c r="U14" i="5"/>
  <c r="Q14" i="5"/>
  <c r="R14" i="5"/>
  <c r="O12" i="2"/>
  <c r="G12" i="2"/>
  <c r="K12" i="2" s="1"/>
  <c r="R12" i="2"/>
  <c r="U1" i="3"/>
  <c r="T1" i="3"/>
  <c r="S1" i="3"/>
  <c r="A8" i="1"/>
  <c r="A24" i="3"/>
  <c r="B24" i="3" s="1"/>
  <c r="A23" i="3"/>
  <c r="D23" i="3" s="1"/>
  <c r="A22" i="3"/>
  <c r="D22" i="3" s="1"/>
  <c r="A21" i="3"/>
  <c r="B21" i="3" s="1"/>
  <c r="A20" i="3"/>
  <c r="E20" i="3" s="1"/>
  <c r="A19" i="3"/>
  <c r="D19" i="3" s="1"/>
  <c r="A18" i="3"/>
  <c r="D18" i="3" s="1"/>
  <c r="A17" i="3"/>
  <c r="B17" i="3" s="1"/>
  <c r="A16" i="3"/>
  <c r="E16" i="3" s="1"/>
  <c r="A15" i="3"/>
  <c r="D15" i="3" s="1"/>
  <c r="A14" i="3"/>
  <c r="D14" i="3" s="1"/>
  <c r="A13" i="3"/>
  <c r="B13" i="3" s="1"/>
  <c r="A12" i="3"/>
  <c r="B12" i="3" s="1"/>
  <c r="A11" i="3"/>
  <c r="D11" i="3" s="1"/>
  <c r="A10" i="3"/>
  <c r="D10" i="3" s="1"/>
  <c r="A9" i="3"/>
  <c r="B9" i="3" s="1"/>
  <c r="A8" i="3"/>
  <c r="C8" i="3" s="1"/>
  <c r="A7" i="3"/>
  <c r="D7" i="3" s="1"/>
  <c r="A6" i="3"/>
  <c r="D6" i="3" s="1"/>
  <c r="I25" i="3"/>
  <c r="H25" i="3"/>
  <c r="G25" i="3"/>
  <c r="F25" i="3"/>
  <c r="I5" i="3"/>
  <c r="H5" i="3"/>
  <c r="G5" i="3"/>
  <c r="F5" i="3"/>
  <c r="V3" i="3"/>
  <c r="J3" i="3"/>
  <c r="F3" i="3"/>
  <c r="W3" i="3" s="1"/>
  <c r="I4" i="3"/>
  <c r="H4" i="3"/>
  <c r="L4" i="3" s="1"/>
  <c r="O4" i="3" s="1"/>
  <c r="R4" i="3" s="1"/>
  <c r="U4" i="3" s="1"/>
  <c r="G4" i="3"/>
  <c r="K4" i="3" s="1"/>
  <c r="N4" i="3" s="1"/>
  <c r="Q4" i="3" s="1"/>
  <c r="T4" i="3" s="1"/>
  <c r="F4" i="3"/>
  <c r="J4" i="3" s="1"/>
  <c r="M4" i="3" s="1"/>
  <c r="P4" i="3" s="1"/>
  <c r="S4" i="3" s="1"/>
  <c r="E8" i="1"/>
  <c r="D8" i="1" s="1"/>
  <c r="A11" i="1"/>
  <c r="A15" i="1" s="1"/>
  <c r="A19" i="1" s="1"/>
  <c r="A23" i="1" s="1"/>
  <c r="E7" i="1"/>
  <c r="B7" i="1" s="1"/>
  <c r="B6" i="2"/>
  <c r="B7" i="2"/>
  <c r="E6" i="2"/>
  <c r="I6" i="2" s="1"/>
  <c r="M6" i="2" s="1"/>
  <c r="D6" i="2"/>
  <c r="C6" i="2"/>
  <c r="I9" i="2"/>
  <c r="E9" i="2" s="1"/>
  <c r="H9" i="2"/>
  <c r="D9" i="2" s="1"/>
  <c r="G9" i="2"/>
  <c r="C9" i="2" s="1"/>
  <c r="F9" i="2"/>
  <c r="B9" i="2" s="1"/>
  <c r="A8" i="2"/>
  <c r="A10" i="2" s="1"/>
  <c r="A12" i="2" s="1"/>
  <c r="A14" i="2" s="1"/>
  <c r="M7" i="2"/>
  <c r="L7" i="2"/>
  <c r="K7" i="2"/>
  <c r="J7" i="2"/>
  <c r="E7" i="2"/>
  <c r="E8" i="2" s="1"/>
  <c r="D7" i="2"/>
  <c r="C7" i="2"/>
  <c r="A7" i="2"/>
  <c r="A9" i="2" s="1"/>
  <c r="A11" i="2" s="1"/>
  <c r="A13" i="2" s="1"/>
  <c r="I5" i="2"/>
  <c r="M5" i="2" s="1"/>
  <c r="H5" i="2"/>
  <c r="L5" i="2" s="1"/>
  <c r="G5" i="2"/>
  <c r="K5" i="2" s="1"/>
  <c r="F5" i="2"/>
  <c r="J5" i="2" s="1"/>
  <c r="I4" i="2"/>
  <c r="M4" i="2" s="1"/>
  <c r="H4" i="2"/>
  <c r="L4" i="2" s="1"/>
  <c r="P4" i="2" s="1"/>
  <c r="S4" i="2" s="1"/>
  <c r="G4" i="2"/>
  <c r="K4" i="2" s="1"/>
  <c r="O4" i="2" s="1"/>
  <c r="R4" i="2" s="1"/>
  <c r="F4" i="2"/>
  <c r="J4" i="2" s="1"/>
  <c r="N4" i="2" s="1"/>
  <c r="Q4" i="2" s="1"/>
  <c r="D10" i="2" l="1"/>
  <c r="P9" i="2"/>
  <c r="S9" i="2"/>
  <c r="T15" i="5"/>
  <c r="R15" i="5"/>
  <c r="K15" i="5"/>
  <c r="O15" i="5" s="1"/>
  <c r="U15" i="5"/>
  <c r="Q15" i="5"/>
  <c r="P15" i="5"/>
  <c r="F16" i="5"/>
  <c r="S15" i="5"/>
  <c r="C8" i="2"/>
  <c r="R7" i="2"/>
  <c r="O7" i="2"/>
  <c r="B10" i="2"/>
  <c r="N9" i="2"/>
  <c r="Q9" i="2"/>
  <c r="D8" i="2"/>
  <c r="S7" i="2"/>
  <c r="P7" i="2"/>
  <c r="C10" i="2"/>
  <c r="O9" i="2"/>
  <c r="R9" i="2"/>
  <c r="S25" i="3"/>
  <c r="B8" i="2"/>
  <c r="Q8" i="2" s="1"/>
  <c r="Q7" i="2"/>
  <c r="N7" i="2"/>
  <c r="N8" i="2"/>
  <c r="R8" i="2"/>
  <c r="O8" i="2"/>
  <c r="N10" i="2"/>
  <c r="F6" i="2"/>
  <c r="J6" i="2" s="1"/>
  <c r="Q6" i="2"/>
  <c r="N6" i="2"/>
  <c r="S8" i="2"/>
  <c r="P8" i="2"/>
  <c r="H6" i="2"/>
  <c r="L6" i="2" s="1"/>
  <c r="S6" i="2"/>
  <c r="P6" i="2"/>
  <c r="G6" i="2"/>
  <c r="K6" i="2" s="1"/>
  <c r="R6" i="2"/>
  <c r="O6" i="2"/>
  <c r="Q7" i="1"/>
  <c r="N7" i="1"/>
  <c r="S8" i="1"/>
  <c r="P8" i="1"/>
  <c r="P25" i="3"/>
  <c r="R25" i="3"/>
  <c r="Q25" i="3"/>
  <c r="Q5" i="3"/>
  <c r="P5" i="3"/>
  <c r="R5" i="3"/>
  <c r="E22" i="3"/>
  <c r="L22" i="3" s="1"/>
  <c r="C10" i="3"/>
  <c r="C14" i="3"/>
  <c r="C18" i="3"/>
  <c r="C22" i="3"/>
  <c r="E10" i="3"/>
  <c r="C7" i="3"/>
  <c r="C12" i="3"/>
  <c r="C16" i="3"/>
  <c r="N16" i="3" s="1"/>
  <c r="C20" i="3"/>
  <c r="K20" i="3" s="1"/>
  <c r="D24" i="3"/>
  <c r="E18" i="3"/>
  <c r="L18" i="3" s="1"/>
  <c r="B10" i="3"/>
  <c r="B14" i="3"/>
  <c r="B18" i="3"/>
  <c r="B22" i="3"/>
  <c r="E14" i="3"/>
  <c r="D8" i="3"/>
  <c r="D9" i="3"/>
  <c r="D13" i="3"/>
  <c r="D17" i="3"/>
  <c r="D21" i="3"/>
  <c r="B11" i="3"/>
  <c r="B15" i="3"/>
  <c r="B19" i="3"/>
  <c r="B23" i="3"/>
  <c r="E15" i="3"/>
  <c r="C11" i="3"/>
  <c r="D12" i="3"/>
  <c r="C15" i="3"/>
  <c r="C19" i="3"/>
  <c r="D20" i="3"/>
  <c r="L20" i="3" s="1"/>
  <c r="C23" i="3"/>
  <c r="E7" i="3"/>
  <c r="E12" i="3"/>
  <c r="B8" i="3"/>
  <c r="E8" i="3"/>
  <c r="E9" i="3"/>
  <c r="J9" i="3" s="1"/>
  <c r="E13" i="3"/>
  <c r="E17" i="3"/>
  <c r="E21" i="3"/>
  <c r="B7" i="3"/>
  <c r="C9" i="3"/>
  <c r="C13" i="3"/>
  <c r="B16" i="3"/>
  <c r="J16" i="3" s="1"/>
  <c r="C17" i="3"/>
  <c r="B20" i="3"/>
  <c r="J20" i="3" s="1"/>
  <c r="C21" i="3"/>
  <c r="C24" i="3"/>
  <c r="E11" i="3"/>
  <c r="E19" i="3"/>
  <c r="E23" i="3"/>
  <c r="D16" i="3"/>
  <c r="O16" i="3" s="1"/>
  <c r="E24" i="3"/>
  <c r="Y3" i="3"/>
  <c r="M3" i="3"/>
  <c r="B6" i="3"/>
  <c r="C6" i="3"/>
  <c r="F6" i="3"/>
  <c r="E6" i="3"/>
  <c r="T25" i="3"/>
  <c r="U25" i="3"/>
  <c r="T5" i="3"/>
  <c r="S5" i="3"/>
  <c r="U5" i="3"/>
  <c r="F17" i="3"/>
  <c r="F10" i="3"/>
  <c r="F18" i="3"/>
  <c r="F11" i="3"/>
  <c r="G17" i="3"/>
  <c r="F19" i="3"/>
  <c r="F7" i="3"/>
  <c r="F12" i="3"/>
  <c r="F13" i="3"/>
  <c r="F22" i="3"/>
  <c r="F23" i="3"/>
  <c r="F16" i="3"/>
  <c r="F24" i="3"/>
  <c r="F20" i="3"/>
  <c r="F8" i="3"/>
  <c r="F21" i="3"/>
  <c r="F14" i="3"/>
  <c r="F15" i="3"/>
  <c r="F9" i="3"/>
  <c r="S3" i="3"/>
  <c r="I10" i="3"/>
  <c r="I11" i="3"/>
  <c r="I7" i="3"/>
  <c r="I24" i="3"/>
  <c r="I12" i="3"/>
  <c r="I16" i="3"/>
  <c r="I18" i="3"/>
  <c r="I19" i="3"/>
  <c r="I17" i="3"/>
  <c r="I6" i="3"/>
  <c r="I9" i="3"/>
  <c r="I20" i="3"/>
  <c r="G13" i="3"/>
  <c r="H21" i="3"/>
  <c r="G21" i="3"/>
  <c r="G24" i="3"/>
  <c r="Q24" i="3" s="1"/>
  <c r="G8" i="3"/>
  <c r="G9" i="3"/>
  <c r="G10" i="3"/>
  <c r="G14" i="3"/>
  <c r="G18" i="3"/>
  <c r="G22" i="3"/>
  <c r="G19" i="3"/>
  <c r="G6" i="3"/>
  <c r="G11" i="3"/>
  <c r="G15" i="3"/>
  <c r="G23" i="3"/>
  <c r="G7" i="3"/>
  <c r="G12" i="3"/>
  <c r="G16" i="3"/>
  <c r="G20" i="3"/>
  <c r="I15" i="3"/>
  <c r="I23" i="3"/>
  <c r="I8" i="3"/>
  <c r="I13" i="3"/>
  <c r="I21" i="3"/>
  <c r="I14" i="3"/>
  <c r="I22" i="3"/>
  <c r="H19" i="3"/>
  <c r="H9" i="3"/>
  <c r="H15" i="3"/>
  <c r="H23" i="3"/>
  <c r="H16" i="3"/>
  <c r="H24" i="3"/>
  <c r="H11" i="3"/>
  <c r="H14" i="3"/>
  <c r="H22" i="3"/>
  <c r="H17" i="3"/>
  <c r="H7" i="3"/>
  <c r="H12" i="3"/>
  <c r="H20" i="3"/>
  <c r="H10" i="3"/>
  <c r="H18" i="3"/>
  <c r="H6" i="3"/>
  <c r="H8" i="3"/>
  <c r="H13" i="3"/>
  <c r="B8" i="1"/>
  <c r="C8" i="1"/>
  <c r="C7" i="1"/>
  <c r="I7" i="1"/>
  <c r="M7" i="1" s="1"/>
  <c r="F7" i="1"/>
  <c r="J7" i="1" s="1"/>
  <c r="D7" i="1"/>
  <c r="E10" i="2"/>
  <c r="S10" i="2" s="1"/>
  <c r="H10" i="2"/>
  <c r="L10" i="2" s="1"/>
  <c r="G8" i="2"/>
  <c r="K8" i="2" s="1"/>
  <c r="F10" i="2"/>
  <c r="J10" i="2" s="1"/>
  <c r="I8" i="2"/>
  <c r="M8" i="2" s="1"/>
  <c r="F8" i="2"/>
  <c r="J8" i="2" s="1"/>
  <c r="G10" i="2"/>
  <c r="K10" i="2" s="1"/>
  <c r="I14" i="1"/>
  <c r="E14" i="1" s="1"/>
  <c r="H14" i="1"/>
  <c r="D14" i="1" s="1"/>
  <c r="G14" i="1"/>
  <c r="C14" i="1" s="1"/>
  <c r="F14" i="1"/>
  <c r="B14" i="1" s="1"/>
  <c r="E10" i="1"/>
  <c r="D10" i="1"/>
  <c r="C10" i="1"/>
  <c r="B10" i="1"/>
  <c r="M10" i="1"/>
  <c r="L10" i="1"/>
  <c r="K10" i="1"/>
  <c r="J10" i="1"/>
  <c r="A12" i="1"/>
  <c r="A16" i="1" s="1"/>
  <c r="A20" i="1" s="1"/>
  <c r="A24" i="1" s="1"/>
  <c r="A10" i="1"/>
  <c r="A14" i="1" s="1"/>
  <c r="A18" i="1" s="1"/>
  <c r="A22" i="1" s="1"/>
  <c r="A9" i="1"/>
  <c r="A13" i="1" s="1"/>
  <c r="A17" i="1" s="1"/>
  <c r="A21" i="1" s="1"/>
  <c r="I13" i="1"/>
  <c r="E13" i="1" s="1"/>
  <c r="H13" i="1"/>
  <c r="D13" i="1" s="1"/>
  <c r="G13" i="1"/>
  <c r="C13" i="1" s="1"/>
  <c r="F13" i="1"/>
  <c r="B13" i="1" s="1"/>
  <c r="M9" i="1"/>
  <c r="L9" i="1"/>
  <c r="K9" i="1"/>
  <c r="J9" i="1"/>
  <c r="E9" i="1"/>
  <c r="D9" i="1"/>
  <c r="C9" i="1"/>
  <c r="B9" i="1"/>
  <c r="I5" i="1"/>
  <c r="M5" i="1" s="1"/>
  <c r="I6" i="1"/>
  <c r="M6" i="1" s="1"/>
  <c r="H6" i="1"/>
  <c r="L6" i="1" s="1"/>
  <c r="G6" i="1"/>
  <c r="K6" i="1" s="1"/>
  <c r="F6" i="1"/>
  <c r="J6" i="1" s="1"/>
  <c r="H5" i="1"/>
  <c r="L5" i="1" s="1"/>
  <c r="G5" i="1"/>
  <c r="K5" i="1" s="1"/>
  <c r="F5" i="1"/>
  <c r="J5" i="1" s="1"/>
  <c r="I4" i="1"/>
  <c r="M4" i="1" s="1"/>
  <c r="H4" i="1"/>
  <c r="L4" i="1" s="1"/>
  <c r="P4" i="1" s="1"/>
  <c r="S4" i="1" s="1"/>
  <c r="G4" i="1"/>
  <c r="K4" i="1" s="1"/>
  <c r="O4" i="1" s="1"/>
  <c r="R4" i="1" s="1"/>
  <c r="F4" i="1"/>
  <c r="J4" i="1" s="1"/>
  <c r="N4" i="1" s="1"/>
  <c r="Q4" i="1" s="1"/>
  <c r="N14" i="1" l="1"/>
  <c r="Q14" i="1"/>
  <c r="O10" i="2"/>
  <c r="Q10" i="2"/>
  <c r="R10" i="2"/>
  <c r="N9" i="1"/>
  <c r="Q9" i="1"/>
  <c r="O9" i="1"/>
  <c r="R9" i="1"/>
  <c r="N13" i="1"/>
  <c r="Q13" i="1"/>
  <c r="O14" i="1"/>
  <c r="R14" i="1"/>
  <c r="O13" i="1"/>
  <c r="R13" i="1"/>
  <c r="P14" i="1"/>
  <c r="S14" i="1"/>
  <c r="P9" i="1"/>
  <c r="S9" i="1"/>
  <c r="P13" i="1"/>
  <c r="S13" i="1"/>
  <c r="P10" i="2"/>
  <c r="O10" i="1"/>
  <c r="R10" i="1"/>
  <c r="F17" i="5"/>
  <c r="S16" i="5"/>
  <c r="K16" i="5"/>
  <c r="O16" i="5" s="1"/>
  <c r="R16" i="5"/>
  <c r="U16" i="5"/>
  <c r="Q16" i="5"/>
  <c r="T16" i="5"/>
  <c r="P16" i="5"/>
  <c r="N10" i="1"/>
  <c r="Q10" i="1"/>
  <c r="P10" i="1"/>
  <c r="S10" i="1"/>
  <c r="J23" i="3"/>
  <c r="R14" i="3"/>
  <c r="Q7" i="3"/>
  <c r="R20" i="3"/>
  <c r="R19" i="3"/>
  <c r="R22" i="3"/>
  <c r="R24" i="3"/>
  <c r="J19" i="3"/>
  <c r="G7" i="1"/>
  <c r="K7" i="1" s="1"/>
  <c r="O7" i="1"/>
  <c r="R7" i="1"/>
  <c r="S7" i="1"/>
  <c r="P7" i="1"/>
  <c r="R8" i="1"/>
  <c r="O8" i="1"/>
  <c r="Q8" i="1"/>
  <c r="N8" i="1"/>
  <c r="K21" i="3"/>
  <c r="Q6" i="3"/>
  <c r="M20" i="3"/>
  <c r="J7" i="3"/>
  <c r="M16" i="3"/>
  <c r="J8" i="3"/>
  <c r="Q18" i="3"/>
  <c r="Q20" i="3"/>
  <c r="R7" i="3"/>
  <c r="Q19" i="3"/>
  <c r="P20" i="3"/>
  <c r="L16" i="3"/>
  <c r="N20" i="3"/>
  <c r="P8" i="3"/>
  <c r="P16" i="3"/>
  <c r="R8" i="3"/>
  <c r="R9" i="3"/>
  <c r="P11" i="3"/>
  <c r="L8" i="3"/>
  <c r="R16" i="3"/>
  <c r="K13" i="3"/>
  <c r="R11" i="3"/>
  <c r="Q16" i="3"/>
  <c r="Q11" i="3"/>
  <c r="P9" i="3"/>
  <c r="K16" i="3"/>
  <c r="R10" i="3"/>
  <c r="Q15" i="3"/>
  <c r="P14" i="3"/>
  <c r="P13" i="3"/>
  <c r="Q17" i="3"/>
  <c r="P10" i="3"/>
  <c r="K10" i="3"/>
  <c r="P19" i="3"/>
  <c r="O20" i="3"/>
  <c r="M19" i="3"/>
  <c r="O19" i="3"/>
  <c r="N19" i="3"/>
  <c r="K15" i="3"/>
  <c r="M15" i="3"/>
  <c r="O15" i="3"/>
  <c r="N15" i="3"/>
  <c r="L14" i="3"/>
  <c r="N14" i="3"/>
  <c r="O14" i="3"/>
  <c r="M14" i="3"/>
  <c r="N10" i="3"/>
  <c r="M10" i="3"/>
  <c r="O10" i="3"/>
  <c r="Q14" i="3"/>
  <c r="Q13" i="3"/>
  <c r="P12" i="3"/>
  <c r="L10" i="3"/>
  <c r="P6" i="3"/>
  <c r="L11" i="3"/>
  <c r="M11" i="3"/>
  <c r="O11" i="3"/>
  <c r="N11" i="3"/>
  <c r="J12" i="3"/>
  <c r="N12" i="3"/>
  <c r="M12" i="3"/>
  <c r="O12" i="3"/>
  <c r="J14" i="3"/>
  <c r="K22" i="3"/>
  <c r="R6" i="3"/>
  <c r="R17" i="3"/>
  <c r="R15" i="3"/>
  <c r="Q12" i="3"/>
  <c r="Q10" i="3"/>
  <c r="Q9" i="3"/>
  <c r="Q21" i="3"/>
  <c r="P21" i="3"/>
  <c r="P22" i="3"/>
  <c r="P7" i="3"/>
  <c r="P18" i="3"/>
  <c r="L24" i="3"/>
  <c r="N24" i="3"/>
  <c r="M24" i="3"/>
  <c r="O24" i="3"/>
  <c r="K9" i="3"/>
  <c r="L17" i="3"/>
  <c r="O17" i="3"/>
  <c r="M17" i="3"/>
  <c r="N17" i="3"/>
  <c r="J10" i="3"/>
  <c r="J18" i="3"/>
  <c r="N18" i="3"/>
  <c r="O18" i="3"/>
  <c r="M18" i="3"/>
  <c r="L6" i="3"/>
  <c r="M6" i="3"/>
  <c r="N6" i="3"/>
  <c r="O6" i="3"/>
  <c r="L9" i="3"/>
  <c r="O9" i="3"/>
  <c r="M9" i="3"/>
  <c r="N9" i="3"/>
  <c r="N22" i="3"/>
  <c r="O22" i="3"/>
  <c r="M22" i="3"/>
  <c r="R23" i="3"/>
  <c r="P17" i="3"/>
  <c r="L19" i="3"/>
  <c r="J21" i="3"/>
  <c r="O21" i="3"/>
  <c r="M21" i="3"/>
  <c r="N21" i="3"/>
  <c r="R13" i="3"/>
  <c r="R18" i="3"/>
  <c r="R12" i="3"/>
  <c r="Q23" i="3"/>
  <c r="Q22" i="3"/>
  <c r="Q8" i="3"/>
  <c r="R21" i="3"/>
  <c r="P15" i="3"/>
  <c r="P24" i="3"/>
  <c r="P23" i="3"/>
  <c r="L23" i="3"/>
  <c r="M23" i="3"/>
  <c r="O23" i="3"/>
  <c r="N23" i="3"/>
  <c r="L13" i="3"/>
  <c r="O13" i="3"/>
  <c r="M13" i="3"/>
  <c r="N13" i="3"/>
  <c r="K8" i="3"/>
  <c r="O8" i="3"/>
  <c r="N8" i="3"/>
  <c r="M8" i="3"/>
  <c r="K7" i="3"/>
  <c r="N7" i="3"/>
  <c r="M7" i="3"/>
  <c r="O7" i="3"/>
  <c r="K19" i="3"/>
  <c r="L15" i="3"/>
  <c r="K14" i="3"/>
  <c r="J22" i="3"/>
  <c r="L21" i="3"/>
  <c r="K18" i="3"/>
  <c r="K11" i="3"/>
  <c r="J11" i="3"/>
  <c r="J17" i="3"/>
  <c r="K12" i="3"/>
  <c r="L12" i="3"/>
  <c r="J15" i="3"/>
  <c r="K17" i="3"/>
  <c r="K23" i="3"/>
  <c r="J13" i="3"/>
  <c r="J24" i="3"/>
  <c r="L7" i="3"/>
  <c r="K24" i="3"/>
  <c r="K6" i="3"/>
  <c r="J6" i="3"/>
  <c r="U23" i="3"/>
  <c r="S23" i="3"/>
  <c r="T23" i="3"/>
  <c r="S18" i="3"/>
  <c r="U18" i="3"/>
  <c r="T18" i="3"/>
  <c r="T13" i="3"/>
  <c r="S13" i="3"/>
  <c r="U13" i="3"/>
  <c r="S24" i="3"/>
  <c r="U24" i="3"/>
  <c r="T24" i="3"/>
  <c r="T7" i="3"/>
  <c r="U7" i="3"/>
  <c r="S7" i="3"/>
  <c r="T22" i="3"/>
  <c r="S22" i="3"/>
  <c r="U22" i="3"/>
  <c r="T21" i="3"/>
  <c r="U21" i="3"/>
  <c r="S21" i="3"/>
  <c r="T6" i="3"/>
  <c r="U6" i="3"/>
  <c r="S6" i="3"/>
  <c r="T12" i="3"/>
  <c r="U12" i="3"/>
  <c r="S12" i="3"/>
  <c r="U14" i="3"/>
  <c r="S14" i="3"/>
  <c r="T14" i="3"/>
  <c r="T15" i="3"/>
  <c r="U15" i="3"/>
  <c r="S15" i="3"/>
  <c r="S17" i="3"/>
  <c r="T17" i="3"/>
  <c r="U17" i="3"/>
  <c r="T10" i="3"/>
  <c r="S10" i="3"/>
  <c r="U10" i="3"/>
  <c r="T20" i="3"/>
  <c r="U20" i="3"/>
  <c r="S20" i="3"/>
  <c r="T19" i="3"/>
  <c r="U19" i="3"/>
  <c r="S19" i="3"/>
  <c r="T8" i="3"/>
  <c r="S8" i="3"/>
  <c r="U8" i="3"/>
  <c r="U9" i="3"/>
  <c r="T9" i="3"/>
  <c r="S9" i="3"/>
  <c r="U16" i="3"/>
  <c r="T16" i="3"/>
  <c r="S16" i="3"/>
  <c r="S11" i="3"/>
  <c r="U11" i="3"/>
  <c r="T11" i="3"/>
  <c r="E11" i="1"/>
  <c r="E12" i="1"/>
  <c r="I12" i="1" s="1"/>
  <c r="M12" i="1" s="1"/>
  <c r="E16" i="1"/>
  <c r="E15" i="1"/>
  <c r="C15" i="1" s="1"/>
  <c r="H7" i="1"/>
  <c r="L7" i="1" s="1"/>
  <c r="H8" i="1"/>
  <c r="L8" i="1" s="1"/>
  <c r="I10" i="2"/>
  <c r="M10" i="2" s="1"/>
  <c r="H8" i="2"/>
  <c r="L8" i="2" s="1"/>
  <c r="I8" i="1"/>
  <c r="M8" i="1" s="1"/>
  <c r="G8" i="1"/>
  <c r="K8" i="1" s="1"/>
  <c r="O15" i="1" l="1"/>
  <c r="R15" i="1"/>
  <c r="P17" i="5"/>
  <c r="R17" i="5"/>
  <c r="T17" i="5"/>
  <c r="F18" i="5"/>
  <c r="U17" i="5"/>
  <c r="Q17" i="5"/>
  <c r="S17" i="5"/>
  <c r="K17" i="5"/>
  <c r="O17" i="5" s="1"/>
  <c r="D15" i="1"/>
  <c r="D16" i="1"/>
  <c r="B16" i="1"/>
  <c r="I16" i="1"/>
  <c r="M16" i="1" s="1"/>
  <c r="C16" i="1"/>
  <c r="B12" i="1"/>
  <c r="D12" i="1"/>
  <c r="C12" i="1"/>
  <c r="D11" i="1"/>
  <c r="C11" i="1"/>
  <c r="B11" i="1"/>
  <c r="I11" i="1"/>
  <c r="M11" i="1" s="1"/>
  <c r="B15" i="1"/>
  <c r="I15" i="1"/>
  <c r="M15" i="1" s="1"/>
  <c r="H15" i="1"/>
  <c r="L15" i="1" s="1"/>
  <c r="G15" i="1"/>
  <c r="K15" i="1" s="1"/>
  <c r="F8" i="1"/>
  <c r="J8" i="1" s="1"/>
  <c r="Q18" i="5" l="1"/>
  <c r="F19" i="5"/>
  <c r="T18" i="5"/>
  <c r="P18" i="5"/>
  <c r="S18" i="5"/>
  <c r="K18" i="5"/>
  <c r="O18" i="5" s="1"/>
  <c r="R18" i="5"/>
  <c r="U18" i="5"/>
  <c r="N15" i="1"/>
  <c r="Q15" i="1"/>
  <c r="N11" i="1"/>
  <c r="Q11" i="1"/>
  <c r="O11" i="1"/>
  <c r="R11" i="1"/>
  <c r="P11" i="1"/>
  <c r="S11" i="1"/>
  <c r="P15" i="1"/>
  <c r="S15" i="1"/>
  <c r="S12" i="1"/>
  <c r="P12" i="1"/>
  <c r="F16" i="1"/>
  <c r="J16" i="1" s="1"/>
  <c r="Q16" i="1"/>
  <c r="N16" i="1"/>
  <c r="Q12" i="1"/>
  <c r="N12" i="1"/>
  <c r="S16" i="1"/>
  <c r="P16" i="1"/>
  <c r="G16" i="1"/>
  <c r="K16" i="1" s="1"/>
  <c r="R16" i="1"/>
  <c r="O16" i="1"/>
  <c r="R12" i="1"/>
  <c r="O12" i="1"/>
  <c r="F12" i="1"/>
  <c r="J12" i="1" s="1"/>
  <c r="H12" i="1"/>
  <c r="L12" i="1" s="1"/>
  <c r="H16" i="1"/>
  <c r="L16" i="1" s="1"/>
  <c r="G12" i="1"/>
  <c r="K12" i="1" s="1"/>
  <c r="F11" i="1"/>
  <c r="J11" i="1" s="1"/>
  <c r="G11" i="1"/>
  <c r="K11" i="1" s="1"/>
  <c r="H11" i="1"/>
  <c r="L11" i="1" s="1"/>
  <c r="F15" i="1"/>
  <c r="J15" i="1" s="1"/>
  <c r="N21" i="1"/>
  <c r="Q21" i="1"/>
  <c r="S21" i="1"/>
  <c r="N22" i="1"/>
  <c r="O21" i="1"/>
  <c r="R19" i="5" l="1"/>
  <c r="T19" i="5"/>
  <c r="U19" i="5"/>
  <c r="Q19" i="5"/>
  <c r="P19" i="5"/>
  <c r="F20" i="5"/>
  <c r="S19" i="5"/>
  <c r="K19" i="5"/>
  <c r="O19" i="5" s="1"/>
  <c r="P22" i="1"/>
  <c r="Q22" i="1"/>
  <c r="E24" i="1"/>
  <c r="R22" i="1"/>
  <c r="P21" i="1"/>
  <c r="R21" i="1"/>
  <c r="O22" i="1"/>
  <c r="E23" i="1"/>
  <c r="E17" i="1" s="1"/>
  <c r="S22" i="1"/>
  <c r="K20" i="5" l="1"/>
  <c r="O20" i="5" s="1"/>
  <c r="F21" i="5"/>
  <c r="U20" i="5"/>
  <c r="Q20" i="5"/>
  <c r="T20" i="5"/>
  <c r="S20" i="5"/>
  <c r="P20" i="5"/>
  <c r="R20" i="5"/>
  <c r="I17" i="1"/>
  <c r="M17" i="1" s="1"/>
  <c r="E20" i="1"/>
  <c r="E19" i="1"/>
  <c r="B23" i="1"/>
  <c r="C23" i="1"/>
  <c r="I23" i="1"/>
  <c r="M23" i="1" s="1"/>
  <c r="D23" i="1"/>
  <c r="D24" i="1"/>
  <c r="I24" i="1"/>
  <c r="M24" i="1" s="1"/>
  <c r="C24" i="1"/>
  <c r="B24" i="1"/>
  <c r="Q21" i="5" l="1"/>
  <c r="P21" i="5"/>
  <c r="S21" i="5"/>
  <c r="U21" i="5"/>
  <c r="K21" i="5"/>
  <c r="O21" i="5" s="1"/>
  <c r="T21" i="5"/>
  <c r="R21" i="5"/>
  <c r="F22" i="5"/>
  <c r="I20" i="1"/>
  <c r="M20" i="1" s="1"/>
  <c r="I19" i="1"/>
  <c r="M19" i="1" s="1"/>
  <c r="O24" i="1"/>
  <c r="G24" i="1"/>
  <c r="K24" i="1" s="1"/>
  <c r="R24" i="1"/>
  <c r="O23" i="1"/>
  <c r="G23" i="1"/>
  <c r="R23" i="1"/>
  <c r="P24" i="1"/>
  <c r="H24" i="1"/>
  <c r="L24" i="1" s="1"/>
  <c r="S24" i="1"/>
  <c r="F23" i="1"/>
  <c r="Q23" i="1"/>
  <c r="N23" i="1"/>
  <c r="Q24" i="1"/>
  <c r="N24" i="1"/>
  <c r="F24" i="1"/>
  <c r="J24" i="1" s="1"/>
  <c r="H23" i="1"/>
  <c r="P23" i="1"/>
  <c r="S23" i="1"/>
  <c r="U24" i="4"/>
  <c r="R24" i="4"/>
  <c r="T24" i="4"/>
  <c r="Q24" i="4"/>
  <c r="U22" i="4"/>
  <c r="R22" i="4"/>
  <c r="Q22" i="4"/>
  <c r="T22" i="4"/>
  <c r="U12" i="4"/>
  <c r="R12" i="4"/>
  <c r="Q12" i="4"/>
  <c r="T12" i="4"/>
  <c r="T8" i="4"/>
  <c r="Q8" i="4"/>
  <c r="P7" i="4"/>
  <c r="S7" i="4"/>
  <c r="P24" i="4"/>
  <c r="S24" i="4"/>
  <c r="R13" i="4"/>
  <c r="U13" i="4"/>
  <c r="S12" i="4"/>
  <c r="P12" i="4"/>
  <c r="R7" i="4"/>
  <c r="U7" i="4"/>
  <c r="T23" i="4"/>
  <c r="Q23" i="4"/>
  <c r="T9" i="4"/>
  <c r="Q9" i="4"/>
  <c r="Q7" i="4"/>
  <c r="T7" i="4"/>
  <c r="S23" i="4"/>
  <c r="P23" i="4"/>
  <c r="I23" i="4"/>
  <c r="M23" i="4" s="1"/>
  <c r="I24" i="4"/>
  <c r="M24" i="4" s="1"/>
  <c r="I22" i="4"/>
  <c r="M22" i="4" s="1"/>
  <c r="I12" i="4"/>
  <c r="M12" i="4"/>
  <c r="U8" i="4"/>
  <c r="R8" i="4"/>
  <c r="H23" i="4"/>
  <c r="L23" i="4" s="1"/>
  <c r="H24" i="4"/>
  <c r="L24" i="4" s="1"/>
  <c r="P22" i="4"/>
  <c r="S22" i="4"/>
  <c r="P13" i="4"/>
  <c r="S13" i="4"/>
  <c r="P9" i="4"/>
  <c r="S9" i="4"/>
  <c r="H12" i="4"/>
  <c r="L12" i="4" s="1"/>
  <c r="P8" i="4"/>
  <c r="S8" i="4"/>
  <c r="Q13" i="4"/>
  <c r="I13" i="4"/>
  <c r="M13" i="4" s="1"/>
  <c r="T13" i="4"/>
  <c r="I9" i="4"/>
  <c r="M9" i="4" s="1"/>
  <c r="U23" i="4"/>
  <c r="R23" i="4"/>
  <c r="J13" i="4"/>
  <c r="N13" i="4" s="1"/>
  <c r="J22" i="4"/>
  <c r="N22" i="4" s="1"/>
  <c r="R9" i="4"/>
  <c r="U9" i="4"/>
  <c r="H9" i="4"/>
  <c r="L9" i="4" s="1"/>
  <c r="H13" i="4"/>
  <c r="L13" i="4" s="1"/>
  <c r="H22" i="4"/>
  <c r="L22" i="4" s="1"/>
  <c r="H7" i="4"/>
  <c r="L7" i="4" s="1"/>
  <c r="H8" i="4"/>
  <c r="L8" i="4" s="1"/>
  <c r="K9" i="4"/>
  <c r="O9" i="4" s="1"/>
  <c r="K12" i="4"/>
  <c r="O12" i="4" s="1"/>
  <c r="J7" i="4"/>
  <c r="N7" i="4" s="1"/>
  <c r="J8" i="4"/>
  <c r="N8" i="4" s="1"/>
  <c r="J23" i="4"/>
  <c r="N23" i="4" s="1"/>
  <c r="J24" i="4"/>
  <c r="N24" i="4" s="1"/>
  <c r="I7" i="4"/>
  <c r="M7" i="4" s="1"/>
  <c r="I8" i="4"/>
  <c r="M8" i="4" s="1"/>
  <c r="K7" i="4"/>
  <c r="O7" i="4" s="1"/>
  <c r="K8" i="4"/>
  <c r="O8" i="4" s="1"/>
  <c r="J9" i="4"/>
  <c r="N9" i="4" s="1"/>
  <c r="J12" i="4"/>
  <c r="N12" i="4" s="1"/>
  <c r="U22" i="5" l="1"/>
  <c r="P22" i="5"/>
  <c r="R22" i="5"/>
  <c r="S22" i="5"/>
  <c r="Q22" i="5"/>
  <c r="F23" i="5"/>
  <c r="T22" i="5"/>
  <c r="K22" i="5"/>
  <c r="O22" i="5" s="1"/>
  <c r="J23" i="1"/>
  <c r="F17" i="1"/>
  <c r="L23" i="1"/>
  <c r="H17" i="1"/>
  <c r="K23" i="1"/>
  <c r="G17" i="1"/>
  <c r="F24" i="5" l="1"/>
  <c r="S23" i="5"/>
  <c r="K23" i="5"/>
  <c r="O23" i="5" s="1"/>
  <c r="R23" i="5"/>
  <c r="Q23" i="5"/>
  <c r="P23" i="5"/>
  <c r="T23" i="5"/>
  <c r="U23" i="5"/>
  <c r="B17" i="1"/>
  <c r="J17" i="1"/>
  <c r="D17" i="1"/>
  <c r="L17" i="1"/>
  <c r="C17" i="1"/>
  <c r="K17" i="1"/>
  <c r="U24" i="5" l="1"/>
  <c r="Q24" i="5"/>
  <c r="T24" i="5"/>
  <c r="P24" i="5"/>
  <c r="S24" i="5"/>
  <c r="K24" i="5"/>
  <c r="O24" i="5" s="1"/>
  <c r="R24" i="5"/>
  <c r="N17" i="1"/>
  <c r="Q17" i="1"/>
  <c r="B19" i="1"/>
  <c r="B20" i="1"/>
  <c r="P17" i="1"/>
  <c r="S17" i="1"/>
  <c r="D19" i="1"/>
  <c r="D20" i="1"/>
  <c r="O17" i="1"/>
  <c r="R17" i="1"/>
  <c r="C19" i="1"/>
  <c r="C20" i="1"/>
  <c r="N20" i="1" l="1"/>
  <c r="F20" i="1"/>
  <c r="J20" i="1" s="1"/>
  <c r="Q20" i="1"/>
  <c r="F19" i="1"/>
  <c r="J19" i="1" s="1"/>
  <c r="Q19" i="1"/>
  <c r="N19" i="1"/>
  <c r="P19" i="1"/>
  <c r="S19" i="1"/>
  <c r="H19" i="1"/>
  <c r="L19" i="1" s="1"/>
  <c r="H20" i="1"/>
  <c r="L20" i="1" s="1"/>
  <c r="S20" i="1"/>
  <c r="P20" i="1"/>
  <c r="R19" i="1"/>
  <c r="O19" i="1"/>
  <c r="G19" i="1"/>
  <c r="K19" i="1" s="1"/>
  <c r="O20" i="1"/>
  <c r="G20" i="1"/>
  <c r="K20" i="1" s="1"/>
  <c r="R20" i="1"/>
</calcChain>
</file>

<file path=xl/sharedStrings.xml><?xml version="1.0" encoding="utf-8"?>
<sst xmlns="http://schemas.openxmlformats.org/spreadsheetml/2006/main" count="273" uniqueCount="118">
  <si>
    <t>R</t>
  </si>
  <si>
    <t>G</t>
  </si>
  <si>
    <t>B</t>
  </si>
  <si>
    <t>A</t>
  </si>
  <si>
    <t>FF</t>
  </si>
  <si>
    <t>00</t>
  </si>
  <si>
    <t>35</t>
  </si>
  <si>
    <t>4A</t>
  </si>
  <si>
    <t>E6</t>
  </si>
  <si>
    <t>https://en.wikipedia.org/wiki/Alpha_compositing#Alpha_blending</t>
  </si>
  <si>
    <t>https://en.wikipedia.org/wiki/Alpha_compositing#Composing_alpha_blending_with_gamma_correction</t>
  </si>
  <si>
    <t>Stored</t>
  </si>
  <si>
    <t>Displayed</t>
  </si>
  <si>
    <t>Color</t>
  </si>
  <si>
    <t>Src</t>
  </si>
  <si>
    <t>Dst</t>
  </si>
  <si>
    <t>https://stackoverflow.com/a/29321264/9072726</t>
  </si>
  <si>
    <t>t</t>
  </si>
  <si>
    <t>γ = 1</t>
  </si>
  <si>
    <r>
      <t xml:space="preserve">Out </t>
    </r>
    <r>
      <rPr>
        <sz val="11"/>
        <color theme="1"/>
        <rFont val="Calibri"/>
        <family val="2"/>
      </rPr>
      <t>γ = 1</t>
    </r>
  </si>
  <si>
    <t>γ</t>
  </si>
  <si>
    <t>Final colors</t>
  </si>
  <si>
    <t>Alpha blend Src (source foreground)
on top of Dst (destination background)</t>
  </si>
  <si>
    <t>Blend two colors</t>
  </si>
  <si>
    <t>Alpha blend on top of the color above</t>
  </si>
  <si>
    <t>Alpha blend on top of the background color specified above</t>
  </si>
  <si>
    <t>Calculate displayed intensity from
stored intensity using gamma correction</t>
  </si>
  <si>
    <t>climb</t>
  </si>
  <si>
    <t xml:space="preserve">point = </t>
  </si>
  <si>
    <t>;</t>
  </si>
  <si>
    <t>; green</t>
  </si>
  <si>
    <t>; yellow</t>
  </si>
  <si>
    <t>; orange</t>
  </si>
  <si>
    <t>; red</t>
  </si>
  <si>
    <t>Colors as a function of climb in m/s</t>
  </si>
  <si>
    <t>alt</t>
  </si>
  <si>
    <t>Colors as a function of altitude in m</t>
  </si>
  <si>
    <t>https://developer.tizen.org/design/wearable/visual-design/colors</t>
  </si>
  <si>
    <t>Background</t>
  </si>
  <si>
    <t>Point color</t>
  </si>
  <si>
    <t>Button</t>
  </si>
  <si>
    <t>Button pressed</t>
  </si>
  <si>
    <t>Main text</t>
  </si>
  <si>
    <t>Sub text</t>
  </si>
  <si>
    <t>Default text</t>
  </si>
  <si>
    <t>Window</t>
  </si>
  <si>
    <t>Heading text</t>
  </si>
  <si>
    <t>Text on black</t>
  </si>
  <si>
    <t>Text on white</t>
  </si>
  <si>
    <t>Text on button</t>
  </si>
  <si>
    <t>4C</t>
  </si>
  <si>
    <t>CF</t>
  </si>
  <si>
    <t>92</t>
  </si>
  <si>
    <t>CC</t>
  </si>
  <si>
    <t>List main text</t>
  </si>
  <si>
    <t>Button press effect</t>
  </si>
  <si>
    <t>Button background</t>
  </si>
  <si>
    <t>List sub text</t>
  </si>
  <si>
    <t>C7</t>
  </si>
  <si>
    <t>D1</t>
  </si>
  <si>
    <t>Text</t>
  </si>
  <si>
    <t>Button text</t>
  </si>
  <si>
    <t>Information</t>
  </si>
  <si>
    <t>Success</t>
  </si>
  <si>
    <t>Warning</t>
  </si>
  <si>
    <t>Error</t>
  </si>
  <si>
    <t>61</t>
  </si>
  <si>
    <t>59</t>
  </si>
  <si>
    <t>F2</t>
  </si>
  <si>
    <t>38</t>
  </si>
  <si>
    <t>E0</t>
  </si>
  <si>
    <t>37</t>
  </si>
  <si>
    <t>0F</t>
  </si>
  <si>
    <t>F9</t>
  </si>
  <si>
    <t>30</t>
  </si>
  <si>
    <t>AE</t>
  </si>
  <si>
    <t>0C</t>
  </si>
  <si>
    <t>4D</t>
  </si>
  <si>
    <t>6C</t>
  </si>
  <si>
    <t>43</t>
  </si>
  <si>
    <t>EE</t>
  </si>
  <si>
    <t>https://en.wikipedia.org/wiki/Tertiary_color</t>
  </si>
  <si>
    <t>; chartreuse</t>
  </si>
  <si>
    <t>EA</t>
  </si>
  <si>
    <t>99</t>
  </si>
  <si>
    <t>17</t>
  </si>
  <si>
    <t>Alerts heading</t>
  </si>
  <si>
    <t>Messages text</t>
  </si>
  <si>
    <t>My own yellow</t>
  </si>
  <si>
    <t>Calendar heading</t>
  </si>
  <si>
    <t>Health green</t>
  </si>
  <si>
    <t>56</t>
  </si>
  <si>
    <t>D3</t>
  </si>
  <si>
    <t>My own green</t>
  </si>
  <si>
    <t>10</t>
  </si>
  <si>
    <t>DD</t>
  </si>
  <si>
    <t>Alarm text</t>
  </si>
  <si>
    <t>Sleep blue text</t>
  </si>
  <si>
    <t>Calendar Sundays</t>
  </si>
  <si>
    <t>47</t>
  </si>
  <si>
    <t>3E</t>
  </si>
  <si>
    <t>E-mail red text</t>
  </si>
  <si>
    <t>Week red circle</t>
  </si>
  <si>
    <t>Week red S</t>
  </si>
  <si>
    <t>32</t>
  </si>
  <si>
    <t>23</t>
  </si>
  <si>
    <t>0D</t>
  </si>
  <si>
    <t>20</t>
  </si>
  <si>
    <t>My own red</t>
  </si>
  <si>
    <t>Standard wearable colors plus custom colors used by ColorVario</t>
  </si>
  <si>
    <t>Disabled</t>
  </si>
  <si>
    <t>80</t>
  </si>
  <si>
    <t>; magenta</t>
  </si>
  <si>
    <t>; violet</t>
  </si>
  <si>
    <t>; blue</t>
  </si>
  <si>
    <t>; azure</t>
  </si>
  <si>
    <t>; cyan (transparent)</t>
  </si>
  <si>
    <t>; spring green (transparent)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</si>
</sst>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CCFFF"/>
      <name val="Calibri"/>
      <family val="2"/>
      <scheme val="minor"/>
    </font>
    <font>
      <sz val="11"/>
      <color rgb="FF003043"/>
      <name val="Calibri"/>
      <family val="2"/>
      <scheme val="minor"/>
    </font>
    <font>
      <sz val="11"/>
      <color rgb="FF002C3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C7C7C7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EECC00"/>
      <name val="Calibri"/>
      <family val="2"/>
      <scheme val="minor"/>
    </font>
    <font>
      <sz val="11"/>
      <color rgb="FF6159F2"/>
      <name val="Calibri"/>
      <family val="2"/>
      <scheme val="minor"/>
    </font>
    <font>
      <sz val="11"/>
      <color rgb="FF38E000"/>
      <name val="Calibri"/>
      <family val="2"/>
      <scheme val="minor"/>
    </font>
    <font>
      <sz val="11"/>
      <color rgb="FFFF370F"/>
      <name val="Calibri"/>
      <family val="2"/>
      <scheme val="minor"/>
    </font>
    <font>
      <sz val="11"/>
      <color rgb="FFF9F9F9"/>
      <name val="Calibri"/>
      <family val="2"/>
      <scheme val="minor"/>
    </font>
    <font>
      <sz val="11"/>
      <color rgb="FFFFAE0C"/>
      <name val="Calibri"/>
      <family val="2"/>
      <scheme val="minor"/>
    </font>
    <font>
      <sz val="11"/>
      <color rgb="FF004D6C"/>
      <name val="Calibri"/>
      <family val="2"/>
      <scheme val="minor"/>
    </font>
    <font>
      <sz val="11"/>
      <color rgb="FF003347"/>
      <name val="Calibri"/>
      <family val="2"/>
      <scheme val="minor"/>
    </font>
    <font>
      <sz val="11"/>
      <color rgb="FF0054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EA9917"/>
      <name val="Calibri"/>
      <family val="2"/>
      <scheme val="minor"/>
    </font>
    <font>
      <sz val="11"/>
      <color rgb="FF56D330"/>
      <name val="Calibri"/>
      <family val="2"/>
      <scheme val="minor"/>
    </font>
    <font>
      <sz val="11"/>
      <color rgb="FF10DD10"/>
      <name val="Calibri"/>
      <family val="2"/>
      <scheme val="minor"/>
    </font>
    <font>
      <sz val="11"/>
      <color rgb="FFF9473E"/>
      <name val="Calibri"/>
      <family val="2"/>
      <scheme val="minor"/>
    </font>
    <font>
      <sz val="11"/>
      <color rgb="FFFF3223"/>
      <name val="Calibri"/>
      <family val="2"/>
      <scheme val="minor"/>
    </font>
    <font>
      <sz val="11"/>
      <color rgb="FFCC0D00"/>
      <name val="Calibri"/>
      <family val="2"/>
      <scheme val="minor"/>
    </font>
    <font>
      <sz val="11"/>
      <color rgb="FFFF2020"/>
      <name val="Calibri"/>
      <family val="2"/>
      <scheme val="minor"/>
    </font>
    <font>
      <sz val="11"/>
      <color rgb="FF808080"/>
      <name val="Calibri"/>
      <family val="2"/>
      <scheme val="minor"/>
    </font>
  </fonts>
  <fills count="10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4EC8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60408"/>
        <bgColor indexed="64"/>
      </patternFill>
    </fill>
    <fill>
      <patternFill patternType="solid">
        <fgColor rgb="FF716669"/>
        <bgColor indexed="64"/>
      </patternFill>
    </fill>
    <fill>
      <patternFill patternType="solid">
        <fgColor rgb="FF757272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80A14"/>
        <bgColor indexed="64"/>
      </patternFill>
    </fill>
    <fill>
      <patternFill patternType="solid">
        <fgColor rgb="FFA59699"/>
        <bgColor indexed="64"/>
      </patternFill>
    </fill>
    <fill>
      <patternFill patternType="solid">
        <fgColor rgb="FFABA7A7"/>
        <bgColor indexed="64"/>
      </patternFill>
    </fill>
    <fill>
      <patternFill patternType="solid">
        <fgColor rgb="FF0050CC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5AE4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5AE6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80000D"/>
        <bgColor indexed="64"/>
      </patternFill>
    </fill>
    <fill>
      <patternFill patternType="solid">
        <fgColor rgb="FF800001"/>
        <bgColor indexed="64"/>
      </patternFill>
    </fill>
    <fill>
      <patternFill patternType="solid">
        <fgColor rgb="FFBA0013"/>
        <bgColor indexed="64"/>
      </patternFill>
    </fill>
    <fill>
      <patternFill patternType="solid">
        <fgColor rgb="FFBA0001"/>
        <bgColor indexed="64"/>
      </patternFill>
    </fill>
    <fill>
      <patternFill patternType="solid">
        <fgColor rgb="FF4CCFFF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ECC00"/>
        <bgColor indexed="64"/>
      </patternFill>
    </fill>
    <fill>
      <patternFill patternType="solid">
        <fgColor rgb="FF005476"/>
        <bgColor indexed="64"/>
      </patternFill>
    </fill>
    <fill>
      <patternFill patternType="solid">
        <fgColor rgb="FF004D6C"/>
        <bgColor indexed="64"/>
      </patternFill>
    </fill>
    <fill>
      <patternFill patternType="solid">
        <fgColor rgb="FF6159F2"/>
        <bgColor indexed="64"/>
      </patternFill>
    </fill>
    <fill>
      <patternFill patternType="solid">
        <fgColor rgb="FF38E000"/>
        <bgColor indexed="64"/>
      </patternFill>
    </fill>
    <fill>
      <patternFill patternType="solid">
        <fgColor rgb="FFFF370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AE0C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5DBA00"/>
        <bgColor indexed="64"/>
      </patternFill>
    </fill>
    <fill>
      <patternFill patternType="solid">
        <fgColor rgb="FF5D0000"/>
        <bgColor indexed="64"/>
      </patternFill>
    </fill>
    <fill>
      <patternFill patternType="solid">
        <fgColor rgb="FF005C8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E61A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B34D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738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4DB3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1AE600"/>
        <bgColor indexed="64"/>
      </patternFill>
    </fill>
    <fill>
      <patternFill patternType="solid">
        <fgColor rgb="FF0DF200"/>
        <bgColor indexed="64"/>
      </patternFill>
    </fill>
    <fill>
      <patternFill patternType="solid">
        <fgColor rgb="FFF94100"/>
        <bgColor indexed="64"/>
      </patternFill>
    </fill>
    <fill>
      <patternFill patternType="solid">
        <fgColor rgb="FFF35A00"/>
        <bgColor indexed="64"/>
      </patternFill>
    </fill>
    <fill>
      <patternFill patternType="solid">
        <fgColor rgb="FFED6C00"/>
        <bgColor indexed="64"/>
      </patternFill>
    </fill>
    <fill>
      <patternFill patternType="solid">
        <fgColor rgb="FFE67B00"/>
        <bgColor indexed="64"/>
      </patternFill>
    </fill>
    <fill>
      <patternFill patternType="solid">
        <fgColor rgb="FFE08800"/>
        <bgColor indexed="64"/>
      </patternFill>
    </fill>
    <fill>
      <patternFill patternType="solid">
        <fgColor rgb="FFD99400"/>
        <bgColor indexed="64"/>
      </patternFill>
    </fill>
    <fill>
      <patternFill patternType="solid">
        <fgColor rgb="FFD29E00"/>
        <bgColor indexed="64"/>
      </patternFill>
    </fill>
    <fill>
      <patternFill patternType="solid">
        <fgColor rgb="FFCAA800"/>
        <bgColor indexed="64"/>
      </patternFill>
    </fill>
    <fill>
      <patternFill patternType="solid">
        <fgColor rgb="FFC2B100"/>
        <bgColor indexed="64"/>
      </patternFill>
    </fill>
    <fill>
      <patternFill patternType="solid">
        <fgColor rgb="FFBABA00"/>
        <bgColor indexed="64"/>
      </patternFill>
    </fill>
    <fill>
      <patternFill patternType="solid">
        <fgColor rgb="FFB1C200"/>
        <bgColor indexed="64"/>
      </patternFill>
    </fill>
    <fill>
      <patternFill patternType="solid">
        <fgColor rgb="FFA8CA00"/>
        <bgColor indexed="64"/>
      </patternFill>
    </fill>
    <fill>
      <patternFill patternType="solid">
        <fgColor rgb="FF9ED200"/>
        <bgColor indexed="64"/>
      </patternFill>
    </fill>
    <fill>
      <patternFill patternType="solid">
        <fgColor rgb="FF94D900"/>
        <bgColor indexed="64"/>
      </patternFill>
    </fill>
    <fill>
      <patternFill patternType="solid">
        <fgColor rgb="FF88E000"/>
        <bgColor indexed="64"/>
      </patternFill>
    </fill>
    <fill>
      <patternFill patternType="solid">
        <fgColor rgb="FF7BE600"/>
        <bgColor indexed="64"/>
      </patternFill>
    </fill>
    <fill>
      <patternFill patternType="solid">
        <fgColor rgb="FF6CED00"/>
        <bgColor indexed="64"/>
      </patternFill>
    </fill>
    <fill>
      <patternFill patternType="solid">
        <fgColor rgb="FF5AF300"/>
        <bgColor indexed="64"/>
      </patternFill>
    </fill>
    <fill>
      <patternFill patternType="solid">
        <fgColor rgb="FF41F9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EA9917"/>
        <bgColor indexed="64"/>
      </patternFill>
    </fill>
    <fill>
      <patternFill patternType="solid">
        <fgColor rgb="FF56D330"/>
        <bgColor indexed="64"/>
      </patternFill>
    </fill>
    <fill>
      <patternFill patternType="solid">
        <fgColor rgb="FF10DD10"/>
        <bgColor indexed="64"/>
      </patternFill>
    </fill>
    <fill>
      <patternFill patternType="solid">
        <fgColor rgb="FFF9473E"/>
        <bgColor indexed="64"/>
      </patternFill>
    </fill>
    <fill>
      <patternFill patternType="solid">
        <fgColor rgb="FFFF3223"/>
        <bgColor indexed="64"/>
      </patternFill>
    </fill>
    <fill>
      <patternFill patternType="solid">
        <fgColor rgb="FFCC0D00"/>
        <bgColor indexed="64"/>
      </patternFill>
    </fill>
    <fill>
      <patternFill patternType="solid">
        <fgColor rgb="FFFF20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FF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9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14" borderId="10" xfId="0" applyFill="1" applyBorder="1"/>
    <xf numFmtId="0" fontId="0" fillId="0" borderId="4" xfId="0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  <xf numFmtId="0" fontId="0" fillId="14" borderId="10" xfId="0" applyFill="1" applyBorder="1" applyAlignment="1"/>
    <xf numFmtId="0" fontId="0" fillId="14" borderId="8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2" fillId="14" borderId="12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49" fontId="0" fillId="14" borderId="0" xfId="0" applyNumberForma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3" borderId="11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3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3" xfId="0" applyFill="1" applyBorder="1" applyAlignment="1">
      <alignment horizontal="center"/>
    </xf>
    <xf numFmtId="0" fontId="0" fillId="30" borderId="13" xfId="0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0" fontId="0" fillId="32" borderId="15" xfId="0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164" fontId="0" fillId="2" borderId="14" xfId="0" applyNumberFormat="1" applyFill="1" applyBorder="1" applyAlignment="1" applyProtection="1">
      <alignment horizontal="center"/>
      <protection locked="0"/>
    </xf>
    <xf numFmtId="164" fontId="0" fillId="2" borderId="15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3" fillId="5" borderId="8" xfId="1" applyFont="1" applyFill="1" applyBorder="1" applyAlignment="1" applyProtection="1">
      <alignment horizontal="center"/>
    </xf>
    <xf numFmtId="0" fontId="3" fillId="5" borderId="7" xfId="1" applyFont="1" applyFill="1" applyBorder="1" applyAlignment="1" applyProtection="1">
      <alignment horizontal="center"/>
    </xf>
    <xf numFmtId="0" fontId="0" fillId="14" borderId="1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9" xfId="0" applyBorder="1" applyProtection="1"/>
    <xf numFmtId="0" fontId="0" fillId="0" borderId="9" xfId="0" applyFill="1" applyBorder="1" applyAlignment="1" applyProtection="1"/>
    <xf numFmtId="0" fontId="0" fillId="14" borderId="6" xfId="0" applyFill="1" applyBorder="1" applyAlignment="1" applyProtection="1">
      <alignment horizontal="center"/>
    </xf>
    <xf numFmtId="0" fontId="0" fillId="0" borderId="12" xfId="0" applyFill="1" applyBorder="1" applyProtection="1"/>
    <xf numFmtId="0" fontId="0" fillId="0" borderId="14" xfId="0" applyFill="1" applyBorder="1" applyAlignment="1" applyProtection="1">
      <alignment horizontal="center"/>
    </xf>
    <xf numFmtId="0" fontId="0" fillId="0" borderId="15" xfId="0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4" borderId="14" xfId="0" applyFill="1" applyBorder="1" applyAlignment="1" applyProtection="1">
      <alignment horizontal="center"/>
    </xf>
    <xf numFmtId="0" fontId="0" fillId="0" borderId="5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49" fontId="0" fillId="14" borderId="0" xfId="0" applyNumberFormat="1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0" fontId="0" fillId="13" borderId="1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0" fontId="0" fillId="17" borderId="1" xfId="0" applyFill="1" applyBorder="1" applyAlignment="1" applyProtection="1">
      <alignment horizontal="center"/>
    </xf>
    <xf numFmtId="0" fontId="0" fillId="18" borderId="11" xfId="0" applyFill="1" applyBorder="1" applyAlignment="1" applyProtection="1">
      <alignment horizontal="center"/>
    </xf>
    <xf numFmtId="0" fontId="0" fillId="18" borderId="1" xfId="0" applyFill="1" applyBorder="1" applyAlignment="1" applyProtection="1">
      <alignment horizontal="center"/>
    </xf>
    <xf numFmtId="49" fontId="0" fillId="16" borderId="11" xfId="0" applyNumberFormat="1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2" xfId="0" applyFill="1" applyBorder="1" applyAlignment="1" applyProtection="1">
      <alignment horizontal="center"/>
    </xf>
    <xf numFmtId="0" fontId="0" fillId="0" borderId="3" xfId="0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0" fillId="16" borderId="4" xfId="0" applyFill="1" applyBorder="1" applyAlignment="1" applyProtection="1">
      <alignment horizontal="center"/>
    </xf>
    <xf numFmtId="0" fontId="0" fillId="16" borderId="3" xfId="0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49" fontId="0" fillId="17" borderId="11" xfId="0" applyNumberFormat="1" applyFill="1" applyBorder="1" applyAlignment="1" applyProtection="1">
      <alignment horizontal="center"/>
    </xf>
    <xf numFmtId="49" fontId="0" fillId="13" borderId="11" xfId="0" applyNumberFormat="1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5" borderId="13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35" borderId="11" xfId="0" applyFill="1" applyBorder="1" applyAlignment="1">
      <alignment horizontal="center"/>
    </xf>
    <xf numFmtId="0" fontId="0" fillId="39" borderId="1" xfId="0" applyFill="1" applyBorder="1" applyAlignment="1">
      <alignment horizontal="center"/>
    </xf>
    <xf numFmtId="0" fontId="0" fillId="5" borderId="8" xfId="0" applyFill="1" applyBorder="1" applyAlignment="1" applyProtection="1">
      <alignment horizontal="center"/>
    </xf>
    <xf numFmtId="0" fontId="4" fillId="5" borderId="6" xfId="0" applyFont="1" applyFill="1" applyBorder="1" applyProtection="1"/>
    <xf numFmtId="0" fontId="4" fillId="5" borderId="7" xfId="0" applyFont="1" applyFill="1" applyBorder="1" applyProtection="1"/>
    <xf numFmtId="0" fontId="4" fillId="15" borderId="6" xfId="0" applyFont="1" applyFill="1" applyBorder="1" applyProtection="1"/>
    <xf numFmtId="0" fontId="4" fillId="15" borderId="7" xfId="0" applyFont="1" applyFill="1" applyBorder="1" applyProtection="1"/>
    <xf numFmtId="0" fontId="4" fillId="3" borderId="6" xfId="0" applyFont="1" applyFill="1" applyBorder="1" applyProtection="1"/>
    <xf numFmtId="0" fontId="0" fillId="0" borderId="9" xfId="0" applyBorder="1" applyAlignment="1" applyProtection="1"/>
    <xf numFmtId="0" fontId="0" fillId="0" borderId="12" xfId="0" applyBorder="1" applyAlignment="1" applyProtection="1"/>
    <xf numFmtId="0" fontId="0" fillId="0" borderId="15" xfId="0" applyNumberFormat="1" applyFill="1" applyBorder="1" applyAlignment="1" applyProtection="1">
      <alignment horizontal="center"/>
    </xf>
    <xf numFmtId="0" fontId="0" fillId="14" borderId="15" xfId="0" applyFill="1" applyBorder="1" applyAlignment="1" applyProtection="1">
      <alignment horizontal="center"/>
    </xf>
    <xf numFmtId="0" fontId="4" fillId="5" borderId="13" xfId="0" applyFont="1" applyFill="1" applyBorder="1" applyAlignment="1" applyProtection="1">
      <alignment horizontal="center"/>
    </xf>
    <xf numFmtId="0" fontId="4" fillId="5" borderId="15" xfId="0" applyFont="1" applyFill="1" applyBorder="1" applyAlignment="1" applyProtection="1">
      <alignment horizontal="center"/>
    </xf>
    <xf numFmtId="0" fontId="4" fillId="15" borderId="13" xfId="0" applyFont="1" applyFill="1" applyBorder="1" applyAlignment="1" applyProtection="1">
      <alignment horizontal="center"/>
    </xf>
    <xf numFmtId="0" fontId="4" fillId="15" borderId="15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1" xfId="0" applyNumberFormat="1" applyFill="1" applyBorder="1" applyAlignment="1" applyProtection="1">
      <alignment horizontal="center"/>
    </xf>
    <xf numFmtId="0" fontId="0" fillId="14" borderId="1" xfId="0" applyFill="1" applyBorder="1" applyAlignment="1" applyProtection="1">
      <alignment horizontal="center"/>
    </xf>
    <xf numFmtId="0" fontId="0" fillId="34" borderId="11" xfId="0" applyFill="1" applyBorder="1" applyAlignment="1" applyProtection="1">
      <alignment horizontal="center"/>
    </xf>
    <xf numFmtId="0" fontId="0" fillId="34" borderId="1" xfId="0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15" borderId="11" xfId="0" applyFont="1" applyFill="1" applyBorder="1" applyAlignment="1" applyProtection="1">
      <alignment horizontal="center"/>
    </xf>
    <xf numFmtId="0" fontId="5" fillId="15" borderId="1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5" borderId="11" xfId="0" applyFont="1" applyFill="1" applyBorder="1" applyAlignment="1" applyProtection="1">
      <alignment horizontal="center"/>
    </xf>
    <xf numFmtId="0" fontId="6" fillId="15" borderId="11" xfId="0" applyFont="1" applyFill="1" applyBorder="1" applyAlignment="1" applyProtection="1">
      <alignment horizontal="center"/>
    </xf>
    <xf numFmtId="0" fontId="6" fillId="3" borderId="11" xfId="0" applyFont="1" applyFill="1" applyBorder="1" applyAlignment="1" applyProtection="1">
      <alignment horizontal="center"/>
    </xf>
    <xf numFmtId="0" fontId="0" fillId="35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7" fillId="15" borderId="11" xfId="0" applyFont="1" applyFill="1" applyBorder="1" applyAlignment="1" applyProtection="1">
      <alignment horizontal="center"/>
    </xf>
    <xf numFmtId="0" fontId="7" fillId="3" borderId="11" xfId="0" applyFont="1" applyFill="1" applyBorder="1" applyAlignment="1" applyProtection="1">
      <alignment horizontal="center"/>
    </xf>
    <xf numFmtId="0" fontId="0" fillId="15" borderId="11" xfId="0" applyFill="1" applyBorder="1" applyAlignment="1" applyProtection="1">
      <alignment horizontal="center"/>
    </xf>
    <xf numFmtId="0" fontId="0" fillId="15" borderId="1" xfId="0" applyFill="1" applyBorder="1" applyAlignment="1" applyProtection="1">
      <alignment horizontal="center"/>
    </xf>
    <xf numFmtId="0" fontId="8" fillId="5" borderId="11" xfId="0" applyFont="1" applyFill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8" fillId="15" borderId="1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0" fillId="36" borderId="11" xfId="0" applyFill="1" applyBorder="1" applyAlignment="1" applyProtection="1">
      <alignment horizontal="center"/>
    </xf>
    <xf numFmtId="0" fontId="0" fillId="36" borderId="1" xfId="0" applyFill="1" applyBorder="1" applyAlignment="1" applyProtection="1">
      <alignment horizontal="center"/>
    </xf>
    <xf numFmtId="0" fontId="9" fillId="5" borderId="1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9" fillId="15" borderId="11" xfId="0" applyFont="1" applyFill="1" applyBorder="1" applyAlignment="1" applyProtection="1">
      <alignment horizontal="center"/>
    </xf>
    <xf numFmtId="0" fontId="9" fillId="15" borderId="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3" xfId="0" applyNumberFormat="1" applyFill="1" applyBorder="1" applyAlignment="1" applyProtection="1">
      <alignment horizontal="center"/>
    </xf>
    <xf numFmtId="0" fontId="0" fillId="14" borderId="3" xfId="0" applyFill="1" applyBorder="1" applyAlignment="1" applyProtection="1">
      <alignment horizontal="center"/>
    </xf>
    <xf numFmtId="0" fontId="0" fillId="37" borderId="4" xfId="0" applyFill="1" applyBorder="1" applyAlignment="1" applyProtection="1">
      <alignment horizontal="center"/>
    </xf>
    <xf numFmtId="0" fontId="0" fillId="37" borderId="3" xfId="0" applyFill="1" applyBorder="1" applyAlignment="1" applyProtection="1">
      <alignment horizontal="center"/>
    </xf>
    <xf numFmtId="0" fontId="10" fillId="5" borderId="4" xfId="0" applyFont="1" applyFill="1" applyBorder="1" applyAlignment="1" applyProtection="1">
      <alignment horizontal="center"/>
    </xf>
    <xf numFmtId="0" fontId="10" fillId="5" borderId="3" xfId="0" applyFont="1" applyFill="1" applyBorder="1" applyAlignment="1" applyProtection="1">
      <alignment horizontal="center"/>
    </xf>
    <xf numFmtId="0" fontId="10" fillId="15" borderId="4" xfId="0" applyFont="1" applyFill="1" applyBorder="1" applyAlignment="1" applyProtection="1">
      <alignment horizontal="center"/>
    </xf>
    <xf numFmtId="0" fontId="10" fillId="15" borderId="3" xfId="0" applyFont="1" applyFill="1" applyBorder="1" applyAlignment="1" applyProtection="1">
      <alignment horizontal="center"/>
    </xf>
    <xf numFmtId="0" fontId="10" fillId="3" borderId="4" xfId="0" applyFont="1" applyFill="1" applyBorder="1" applyAlignment="1" applyProtection="1">
      <alignment horizontal="center"/>
    </xf>
    <xf numFmtId="0" fontId="4" fillId="5" borderId="11" xfId="0" applyFont="1" applyFill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/>
    </xf>
    <xf numFmtId="0" fontId="4" fillId="15" borderId="11" xfId="0" applyFont="1" applyFill="1" applyBorder="1" applyAlignment="1" applyProtection="1">
      <alignment horizontal="center"/>
    </xf>
    <xf numFmtId="0" fontId="4" fillId="15" borderId="1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  <xf numFmtId="0" fontId="0" fillId="37" borderId="11" xfId="0" applyFill="1" applyBorder="1" applyAlignment="1" applyProtection="1">
      <alignment horizontal="center"/>
    </xf>
    <xf numFmtId="0" fontId="0" fillId="37" borderId="1" xfId="0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0" fillId="5" borderId="1" xfId="0" applyFont="1" applyFill="1" applyBorder="1" applyAlignment="1" applyProtection="1">
      <alignment horizontal="center"/>
    </xf>
    <xf numFmtId="0" fontId="10" fillId="15" borderId="11" xfId="0" applyFont="1" applyFill="1" applyBorder="1" applyAlignment="1" applyProtection="1">
      <alignment horizontal="center"/>
    </xf>
    <xf numFmtId="0" fontId="10" fillId="15" borderId="1" xfId="0" applyFont="1" applyFill="1" applyBorder="1" applyAlignment="1" applyProtection="1">
      <alignment horizontal="center"/>
    </xf>
    <xf numFmtId="0" fontId="10" fillId="3" borderId="11" xfId="0" applyFont="1" applyFill="1" applyBorder="1" applyAlignment="1" applyProtection="1">
      <alignment horizontal="center"/>
    </xf>
    <xf numFmtId="0" fontId="0" fillId="38" borderId="11" xfId="0" applyFill="1" applyBorder="1" applyAlignment="1" applyProtection="1">
      <alignment horizontal="center"/>
    </xf>
    <xf numFmtId="0" fontId="0" fillId="38" borderId="1" xfId="0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" xfId="0" applyFont="1" applyFill="1" applyBorder="1" applyAlignment="1" applyProtection="1">
      <alignment horizontal="center"/>
    </xf>
    <xf numFmtId="0" fontId="11" fillId="15" borderId="11" xfId="0" applyFont="1" applyFill="1" applyBorder="1" applyAlignment="1" applyProtection="1">
      <alignment horizontal="center"/>
    </xf>
    <xf numFmtId="0" fontId="11" fillId="15" borderId="1" xfId="0" applyFont="1" applyFill="1" applyBorder="1" applyAlignment="1" applyProtection="1">
      <alignment horizontal="center"/>
    </xf>
    <xf numFmtId="0" fontId="11" fillId="3" borderId="11" xfId="0" applyFont="1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5" borderId="3" xfId="0" applyFont="1" applyFill="1" applyBorder="1" applyAlignment="1" applyProtection="1">
      <alignment horizontal="center"/>
    </xf>
    <xf numFmtId="0" fontId="4" fillId="15" borderId="4" xfId="0" applyFont="1" applyFill="1" applyBorder="1" applyAlignment="1" applyProtection="1">
      <alignment horizontal="center"/>
    </xf>
    <xf numFmtId="0" fontId="4" fillId="15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0" fillId="40" borderId="11" xfId="0" applyFill="1" applyBorder="1" applyAlignment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41" borderId="11" xfId="0" applyFill="1" applyBorder="1" applyAlignment="1" applyProtection="1">
      <alignment horizontal="center"/>
    </xf>
    <xf numFmtId="0" fontId="0" fillId="41" borderId="1" xfId="0" applyFill="1" applyBorder="1" applyAlignment="1" applyProtection="1">
      <alignment horizontal="center"/>
    </xf>
    <xf numFmtId="0" fontId="12" fillId="5" borderId="11" xfId="0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15" borderId="11" xfId="0" applyFont="1" applyFill="1" applyBorder="1" applyAlignment="1" applyProtection="1">
      <alignment horizontal="center"/>
    </xf>
    <xf numFmtId="0" fontId="12" fillId="15" borderId="1" xfId="0" applyFont="1" applyFill="1" applyBorder="1" applyAlignment="1" applyProtection="1">
      <alignment horizontal="center"/>
    </xf>
    <xf numFmtId="0" fontId="0" fillId="42" borderId="11" xfId="0" applyFill="1" applyBorder="1" applyAlignment="1" applyProtection="1">
      <alignment horizontal="center"/>
    </xf>
    <xf numFmtId="0" fontId="0" fillId="42" borderId="1" xfId="0" applyFill="1" applyBorder="1" applyAlignment="1" applyProtection="1">
      <alignment horizontal="center"/>
    </xf>
    <xf numFmtId="0" fontId="13" fillId="5" borderId="11" xfId="0" applyFont="1" applyFill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/>
    </xf>
    <xf numFmtId="0" fontId="13" fillId="15" borderId="11" xfId="0" applyFont="1" applyFill="1" applyBorder="1" applyAlignment="1" applyProtection="1">
      <alignment horizontal="center"/>
    </xf>
    <xf numFmtId="0" fontId="13" fillId="15" borderId="1" xfId="0" applyFont="1" applyFill="1" applyBorder="1" applyAlignment="1" applyProtection="1">
      <alignment horizontal="center"/>
    </xf>
    <xf numFmtId="0" fontId="0" fillId="43" borderId="4" xfId="0" applyFill="1" applyBorder="1" applyAlignment="1" applyProtection="1">
      <alignment horizontal="center"/>
    </xf>
    <xf numFmtId="0" fontId="0" fillId="43" borderId="3" xfId="0" applyFill="1" applyBorder="1" applyAlignment="1" applyProtection="1">
      <alignment horizontal="center"/>
    </xf>
    <xf numFmtId="0" fontId="14" fillId="5" borderId="4" xfId="0" applyFont="1" applyFill="1" applyBorder="1" applyAlignment="1" applyProtection="1">
      <alignment horizontal="center"/>
    </xf>
    <xf numFmtId="0" fontId="14" fillId="5" borderId="3" xfId="0" applyFont="1" applyFill="1" applyBorder="1" applyAlignment="1" applyProtection="1">
      <alignment horizontal="center"/>
    </xf>
    <xf numFmtId="0" fontId="14" fillId="15" borderId="4" xfId="0" applyFont="1" applyFill="1" applyBorder="1" applyAlignment="1" applyProtection="1">
      <alignment horizontal="center"/>
    </xf>
    <xf numFmtId="0" fontId="14" fillId="15" borderId="3" xfId="0" applyFont="1" applyFill="1" applyBorder="1" applyAlignment="1" applyProtection="1">
      <alignment horizontal="center"/>
    </xf>
    <xf numFmtId="0" fontId="0" fillId="44" borderId="11" xfId="0" applyFill="1" applyBorder="1" applyAlignment="1" applyProtection="1">
      <alignment horizontal="center"/>
    </xf>
    <xf numFmtId="0" fontId="0" fillId="44" borderId="1" xfId="0" applyFill="1" applyBorder="1" applyAlignment="1" applyProtection="1">
      <alignment horizontal="center"/>
    </xf>
    <xf numFmtId="0" fontId="15" fillId="5" borderId="11" xfId="0" applyFont="1" applyFill="1" applyBorder="1" applyAlignment="1" applyProtection="1">
      <alignment horizontal="center"/>
    </xf>
    <xf numFmtId="0" fontId="15" fillId="5" borderId="1" xfId="0" applyFont="1" applyFill="1" applyBorder="1" applyAlignment="1" applyProtection="1">
      <alignment horizontal="center"/>
    </xf>
    <xf numFmtId="0" fontId="15" fillId="15" borderId="1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0" fillId="45" borderId="11" xfId="0" applyFill="1" applyBorder="1" applyAlignment="1" applyProtection="1">
      <alignment horizontal="center"/>
    </xf>
    <xf numFmtId="0" fontId="0" fillId="45" borderId="1" xfId="0" applyFill="1" applyBorder="1" applyAlignment="1" applyProtection="1">
      <alignment horizontal="center"/>
    </xf>
    <xf numFmtId="0" fontId="16" fillId="5" borderId="11" xfId="0" applyFont="1" applyFill="1" applyBorder="1" applyAlignment="1" applyProtection="1">
      <alignment horizontal="center"/>
    </xf>
    <xf numFmtId="0" fontId="16" fillId="5" borderId="1" xfId="0" applyFont="1" applyFill="1" applyBorder="1" applyAlignment="1" applyProtection="1">
      <alignment horizontal="center"/>
    </xf>
    <xf numFmtId="0" fontId="16" fillId="15" borderId="11" xfId="0" applyFont="1" applyFill="1" applyBorder="1" applyAlignment="1" applyProtection="1">
      <alignment horizontal="center"/>
    </xf>
    <xf numFmtId="0" fontId="16" fillId="15" borderId="1" xfId="0" applyFont="1" applyFill="1" applyBorder="1" applyAlignment="1" applyProtection="1">
      <alignment horizontal="center"/>
    </xf>
    <xf numFmtId="0" fontId="0" fillId="40" borderId="1" xfId="0" applyFill="1" applyBorder="1" applyAlignment="1">
      <alignment horizontal="center"/>
    </xf>
    <xf numFmtId="0" fontId="0" fillId="40" borderId="4" xfId="0" applyFill="1" applyBorder="1" applyAlignment="1">
      <alignment horizontal="center"/>
    </xf>
    <xf numFmtId="0" fontId="0" fillId="40" borderId="3" xfId="0" applyFill="1" applyBorder="1" applyAlignment="1">
      <alignment horizontal="center"/>
    </xf>
    <xf numFmtId="0" fontId="0" fillId="40" borderId="11" xfId="0" applyFill="1" applyBorder="1" applyAlignment="1" applyProtection="1">
      <alignment horizontal="center"/>
    </xf>
    <xf numFmtId="0" fontId="0" fillId="40" borderId="1" xfId="0" applyFill="1" applyBorder="1" applyAlignment="1" applyProtection="1">
      <alignment horizontal="center"/>
    </xf>
    <xf numFmtId="0" fontId="17" fillId="5" borderId="11" xfId="0" applyFont="1" applyFill="1" applyBorder="1" applyAlignment="1" applyProtection="1">
      <alignment horizontal="center"/>
    </xf>
    <xf numFmtId="0" fontId="17" fillId="5" borderId="1" xfId="0" applyFont="1" applyFill="1" applyBorder="1" applyAlignment="1" applyProtection="1">
      <alignment horizontal="center"/>
    </xf>
    <xf numFmtId="0" fontId="17" fillId="15" borderId="11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46" borderId="13" xfId="0" applyFill="1" applyBorder="1" applyAlignment="1">
      <alignment horizontal="center"/>
    </xf>
    <xf numFmtId="0" fontId="0" fillId="47" borderId="11" xfId="0" applyFill="1" applyBorder="1" applyAlignment="1">
      <alignment horizontal="center"/>
    </xf>
    <xf numFmtId="0" fontId="0" fillId="48" borderId="4" xfId="0" applyFill="1" applyBorder="1" applyAlignment="1">
      <alignment horizontal="center"/>
    </xf>
    <xf numFmtId="0" fontId="0" fillId="49" borderId="15" xfId="0" applyFill="1" applyBorder="1" applyAlignment="1">
      <alignment horizontal="center"/>
    </xf>
    <xf numFmtId="0" fontId="0" fillId="47" borderId="1" xfId="0" applyFill="1" applyBorder="1" applyAlignment="1">
      <alignment horizontal="center"/>
    </xf>
    <xf numFmtId="0" fontId="0" fillId="48" borderId="3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</xf>
    <xf numFmtId="0" fontId="6" fillId="5" borderId="1" xfId="0" applyFont="1" applyFill="1" applyBorder="1" applyAlignment="1" applyProtection="1">
      <alignment horizontal="center"/>
    </xf>
    <xf numFmtId="0" fontId="6" fillId="15" borderId="1" xfId="0" applyFont="1" applyFill="1" applyBorder="1" applyAlignment="1" applyProtection="1">
      <alignment horizontal="center"/>
    </xf>
    <xf numFmtId="0" fontId="15" fillId="3" borderId="11" xfId="0" applyFont="1" applyFill="1" applyBorder="1" applyAlignment="1" applyProtection="1">
      <alignment horizontal="center"/>
    </xf>
    <xf numFmtId="0" fontId="17" fillId="3" borderId="11" xfId="0" applyFont="1" applyFill="1" applyBorder="1" applyAlignment="1" applyProtection="1">
      <alignment horizontal="center"/>
    </xf>
    <xf numFmtId="0" fontId="12" fillId="3" borderId="11" xfId="0" applyFont="1" applyFill="1" applyBorder="1" applyAlignment="1" applyProtection="1">
      <alignment horizontal="center"/>
    </xf>
    <xf numFmtId="0" fontId="13" fillId="3" borderId="11" xfId="0" applyFont="1" applyFill="1" applyBorder="1" applyAlignment="1" applyProtection="1">
      <alignment horizontal="center"/>
    </xf>
    <xf numFmtId="0" fontId="16" fillId="3" borderId="11" xfId="0" applyFont="1" applyFill="1" applyBorder="1" applyAlignment="1" applyProtection="1">
      <alignment horizontal="center"/>
    </xf>
    <xf numFmtId="0" fontId="14" fillId="3" borderId="4" xfId="0" applyFont="1" applyFill="1" applyBorder="1" applyAlignment="1" applyProtection="1">
      <alignment horizontal="center"/>
    </xf>
    <xf numFmtId="0" fontId="4" fillId="3" borderId="7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10" fillId="3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/>
    </xf>
    <xf numFmtId="0" fontId="12" fillId="3" borderId="1" xfId="0" applyFont="1" applyFill="1" applyBorder="1" applyAlignment="1" applyProtection="1">
      <alignment horizontal="center"/>
    </xf>
    <xf numFmtId="0" fontId="13" fillId="3" borderId="1" xfId="0" applyFont="1" applyFill="1" applyBorder="1" applyAlignment="1" applyProtection="1">
      <alignment horizontal="center"/>
    </xf>
    <xf numFmtId="0" fontId="16" fillId="3" borderId="1" xfId="0" applyFont="1" applyFill="1" applyBorder="1" applyAlignment="1" applyProtection="1">
      <alignment horizontal="center"/>
    </xf>
    <xf numFmtId="0" fontId="14" fillId="3" borderId="3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0" fillId="50" borderId="4" xfId="0" applyFill="1" applyBorder="1" applyAlignment="1">
      <alignment horizontal="center"/>
    </xf>
    <xf numFmtId="0" fontId="0" fillId="50" borderId="3" xfId="0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0" fontId="0" fillId="51" borderId="0" xfId="0" applyFill="1" applyBorder="1" applyAlignment="1" applyProtection="1">
      <alignment horizontal="center"/>
    </xf>
    <xf numFmtId="0" fontId="0" fillId="52" borderId="0" xfId="0" applyFill="1" applyBorder="1" applyAlignment="1" applyProtection="1">
      <alignment horizontal="center"/>
    </xf>
    <xf numFmtId="0" fontId="0" fillId="53" borderId="0" xfId="0" applyFill="1" applyBorder="1" applyAlignment="1" applyProtection="1">
      <alignment horizontal="center"/>
    </xf>
    <xf numFmtId="0" fontId="0" fillId="54" borderId="0" xfId="0" applyFill="1" applyBorder="1" applyAlignment="1" applyProtection="1">
      <alignment horizontal="center"/>
    </xf>
    <xf numFmtId="0" fontId="0" fillId="55" borderId="0" xfId="0" applyFill="1" applyBorder="1" applyAlignment="1" applyProtection="1">
      <alignment horizontal="center"/>
    </xf>
    <xf numFmtId="0" fontId="0" fillId="56" borderId="0" xfId="0" applyFill="1" applyBorder="1" applyAlignment="1" applyProtection="1">
      <alignment horizontal="center"/>
    </xf>
    <xf numFmtId="0" fontId="0" fillId="57" borderId="0" xfId="0" applyFill="1" applyBorder="1" applyAlignment="1" applyProtection="1">
      <alignment horizontal="center"/>
    </xf>
    <xf numFmtId="0" fontId="0" fillId="58" borderId="0" xfId="0" applyFill="1" applyBorder="1" applyAlignment="1" applyProtection="1">
      <alignment horizontal="center"/>
    </xf>
    <xf numFmtId="0" fontId="0" fillId="59" borderId="0" xfId="0" applyFill="1" applyBorder="1" applyAlignment="1" applyProtection="1">
      <alignment horizontal="center"/>
    </xf>
    <xf numFmtId="0" fontId="0" fillId="60" borderId="0" xfId="0" applyFill="1" applyBorder="1" applyAlignment="1" applyProtection="1">
      <alignment horizontal="center"/>
    </xf>
    <xf numFmtId="0" fontId="0" fillId="61" borderId="0" xfId="0" applyFill="1" applyBorder="1" applyAlignment="1" applyProtection="1">
      <alignment horizontal="center"/>
    </xf>
    <xf numFmtId="0" fontId="0" fillId="62" borderId="0" xfId="0" applyFill="1" applyBorder="1" applyAlignment="1" applyProtection="1">
      <alignment horizontal="center"/>
    </xf>
    <xf numFmtId="0" fontId="0" fillId="63" borderId="0" xfId="0" applyFill="1" applyBorder="1" applyAlignment="1" applyProtection="1">
      <alignment horizontal="center"/>
    </xf>
    <xf numFmtId="0" fontId="0" fillId="64" borderId="0" xfId="0" applyFill="1" applyBorder="1" applyAlignment="1" applyProtection="1">
      <alignment horizontal="center"/>
    </xf>
    <xf numFmtId="0" fontId="0" fillId="65" borderId="0" xfId="0" applyFill="1" applyBorder="1" applyAlignment="1" applyProtection="1">
      <alignment horizontal="center"/>
    </xf>
    <xf numFmtId="0" fontId="0" fillId="66" borderId="0" xfId="0" applyFill="1" applyBorder="1" applyAlignment="1" applyProtection="1">
      <alignment horizontal="center"/>
    </xf>
    <xf numFmtId="0" fontId="0" fillId="67" borderId="0" xfId="0" applyFill="1" applyBorder="1" applyAlignment="1" applyProtection="1">
      <alignment horizontal="center"/>
    </xf>
    <xf numFmtId="0" fontId="0" fillId="68" borderId="0" xfId="0" applyFill="1" applyBorder="1" applyAlignment="1" applyProtection="1">
      <alignment horizontal="center"/>
    </xf>
    <xf numFmtId="0" fontId="0" fillId="69" borderId="0" xfId="0" applyFill="1" applyBorder="1" applyAlignment="1" applyProtection="1">
      <alignment horizontal="center"/>
    </xf>
    <xf numFmtId="0" fontId="0" fillId="70" borderId="0" xfId="0" applyFill="1" applyBorder="1" applyAlignment="1" applyProtection="1">
      <alignment horizontal="center"/>
    </xf>
    <xf numFmtId="0" fontId="0" fillId="71" borderId="0" xfId="0" applyFill="1" applyBorder="1" applyAlignment="1" applyProtection="1">
      <alignment horizontal="center"/>
    </xf>
    <xf numFmtId="0" fontId="0" fillId="72" borderId="0" xfId="0" applyFill="1" applyBorder="1" applyAlignment="1" applyProtection="1">
      <alignment horizontal="center"/>
    </xf>
    <xf numFmtId="0" fontId="0" fillId="73" borderId="0" xfId="0" applyFill="1" applyBorder="1" applyAlignment="1" applyProtection="1">
      <alignment horizontal="center"/>
    </xf>
    <xf numFmtId="0" fontId="0" fillId="74" borderId="0" xfId="0" applyFill="1" applyBorder="1" applyAlignment="1" applyProtection="1">
      <alignment horizontal="center"/>
    </xf>
    <xf numFmtId="0" fontId="0" fillId="75" borderId="0" xfId="0" applyFill="1" applyBorder="1" applyAlignment="1" applyProtection="1">
      <alignment horizontal="center"/>
    </xf>
    <xf numFmtId="0" fontId="0" fillId="76" borderId="0" xfId="0" applyFill="1" applyBorder="1" applyAlignment="1" applyProtection="1">
      <alignment horizontal="center"/>
    </xf>
    <xf numFmtId="0" fontId="0" fillId="77" borderId="0" xfId="0" applyFill="1" applyBorder="1" applyAlignment="1" applyProtection="1">
      <alignment horizontal="center"/>
    </xf>
    <xf numFmtId="0" fontId="0" fillId="78" borderId="0" xfId="0" applyFill="1" applyBorder="1" applyAlignment="1" applyProtection="1">
      <alignment horizontal="center"/>
    </xf>
    <xf numFmtId="0" fontId="0" fillId="79" borderId="0" xfId="0" applyFill="1" applyBorder="1" applyAlignment="1" applyProtection="1">
      <alignment horizontal="center"/>
    </xf>
    <xf numFmtId="0" fontId="0" fillId="80" borderId="0" xfId="0" applyFill="1" applyBorder="1" applyAlignment="1" applyProtection="1">
      <alignment horizontal="center"/>
    </xf>
    <xf numFmtId="0" fontId="0" fillId="81" borderId="0" xfId="0" applyFill="1" applyBorder="1" applyAlignment="1" applyProtection="1">
      <alignment horizontal="center"/>
    </xf>
    <xf numFmtId="0" fontId="0" fillId="82" borderId="0" xfId="0" applyFill="1" applyBorder="1" applyAlignment="1" applyProtection="1">
      <alignment horizontal="center"/>
    </xf>
    <xf numFmtId="0" fontId="0" fillId="83" borderId="0" xfId="0" applyFill="1" applyBorder="1" applyAlignment="1" applyProtection="1">
      <alignment horizontal="center"/>
    </xf>
    <xf numFmtId="0" fontId="0" fillId="84" borderId="0" xfId="0" applyFill="1" applyBorder="1" applyAlignment="1" applyProtection="1">
      <alignment horizontal="center"/>
    </xf>
    <xf numFmtId="0" fontId="0" fillId="85" borderId="0" xfId="0" applyFill="1" applyBorder="1" applyAlignment="1" applyProtection="1">
      <alignment horizontal="center"/>
    </xf>
    <xf numFmtId="0" fontId="0" fillId="86" borderId="0" xfId="0" applyFill="1" applyBorder="1" applyAlignment="1" applyProtection="1">
      <alignment horizontal="center"/>
    </xf>
    <xf numFmtId="0" fontId="0" fillId="87" borderId="0" xfId="0" applyFill="1" applyBorder="1" applyAlignment="1" applyProtection="1">
      <alignment horizontal="center"/>
    </xf>
    <xf numFmtId="0" fontId="0" fillId="88" borderId="0" xfId="0" applyFill="1" applyBorder="1" applyAlignment="1" applyProtection="1">
      <alignment horizontal="center"/>
    </xf>
    <xf numFmtId="0" fontId="0" fillId="70" borderId="1" xfId="0" applyFill="1" applyBorder="1" applyAlignment="1" applyProtection="1">
      <alignment horizontal="center"/>
    </xf>
    <xf numFmtId="0" fontId="0" fillId="71" borderId="1" xfId="0" applyFill="1" applyBorder="1" applyAlignment="1" applyProtection="1">
      <alignment horizontal="center"/>
    </xf>
    <xf numFmtId="0" fontId="0" fillId="72" borderId="1" xfId="0" applyFill="1" applyBorder="1" applyAlignment="1" applyProtection="1">
      <alignment horizontal="center"/>
    </xf>
    <xf numFmtId="0" fontId="0" fillId="73" borderId="1" xfId="0" applyFill="1" applyBorder="1" applyAlignment="1" applyProtection="1">
      <alignment horizontal="center"/>
    </xf>
    <xf numFmtId="0" fontId="0" fillId="74" borderId="1" xfId="0" applyFill="1" applyBorder="1" applyAlignment="1" applyProtection="1">
      <alignment horizontal="center"/>
    </xf>
    <xf numFmtId="0" fontId="0" fillId="75" borderId="1" xfId="0" applyFill="1" applyBorder="1" applyAlignment="1" applyProtection="1">
      <alignment horizontal="center"/>
    </xf>
    <xf numFmtId="0" fontId="0" fillId="76" borderId="1" xfId="0" applyFill="1" applyBorder="1" applyAlignment="1" applyProtection="1">
      <alignment horizontal="center"/>
    </xf>
    <xf numFmtId="0" fontId="0" fillId="77" borderId="1" xfId="0" applyFill="1" applyBorder="1" applyAlignment="1" applyProtection="1">
      <alignment horizontal="center"/>
    </xf>
    <xf numFmtId="0" fontId="0" fillId="78" borderId="1" xfId="0" applyFill="1" applyBorder="1" applyAlignment="1" applyProtection="1">
      <alignment horizontal="center"/>
    </xf>
    <xf numFmtId="0" fontId="0" fillId="79" borderId="1" xfId="0" applyFill="1" applyBorder="1" applyAlignment="1" applyProtection="1">
      <alignment horizontal="center"/>
    </xf>
    <xf numFmtId="0" fontId="0" fillId="80" borderId="1" xfId="0" applyFill="1" applyBorder="1" applyAlignment="1" applyProtection="1">
      <alignment horizontal="center"/>
    </xf>
    <xf numFmtId="0" fontId="0" fillId="81" borderId="1" xfId="0" applyFill="1" applyBorder="1" applyAlignment="1" applyProtection="1">
      <alignment horizontal="center"/>
    </xf>
    <xf numFmtId="0" fontId="0" fillId="82" borderId="1" xfId="0" applyFill="1" applyBorder="1" applyAlignment="1" applyProtection="1">
      <alignment horizontal="center"/>
    </xf>
    <xf numFmtId="0" fontId="0" fillId="83" borderId="1" xfId="0" applyFill="1" applyBorder="1" applyAlignment="1" applyProtection="1">
      <alignment horizontal="center"/>
    </xf>
    <xf numFmtId="0" fontId="0" fillId="84" borderId="1" xfId="0" applyFill="1" applyBorder="1" applyAlignment="1" applyProtection="1">
      <alignment horizontal="center"/>
    </xf>
    <xf numFmtId="0" fontId="0" fillId="85" borderId="1" xfId="0" applyFill="1" applyBorder="1" applyAlignment="1" applyProtection="1">
      <alignment horizontal="center"/>
    </xf>
    <xf numFmtId="0" fontId="0" fillId="86" borderId="1" xfId="0" applyFill="1" applyBorder="1" applyAlignment="1" applyProtection="1">
      <alignment horizontal="center"/>
    </xf>
    <xf numFmtId="0" fontId="0" fillId="87" borderId="1" xfId="0" applyFill="1" applyBorder="1" applyAlignment="1" applyProtection="1">
      <alignment horizontal="center"/>
    </xf>
    <xf numFmtId="0" fontId="0" fillId="88" borderId="1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39" borderId="1" xfId="0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center"/>
    </xf>
    <xf numFmtId="0" fontId="18" fillId="15" borderId="1" xfId="0" applyFont="1" applyFill="1" applyBorder="1" applyAlignment="1" applyProtection="1">
      <alignment horizontal="center"/>
    </xf>
    <xf numFmtId="0" fontId="19" fillId="15" borderId="1" xfId="0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0" fontId="19" fillId="3" borderId="1" xfId="0" applyFon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protection locked="0"/>
    </xf>
    <xf numFmtId="164" fontId="0" fillId="0" borderId="10" xfId="0" applyNumberFormat="1" applyFill="1" applyBorder="1" applyAlignment="1" applyProtection="1">
      <protection locked="0"/>
    </xf>
    <xf numFmtId="164" fontId="3" fillId="0" borderId="5" xfId="1" applyNumberFormat="1" applyFont="1" applyFill="1" applyBorder="1" applyAlignment="1" applyProtection="1">
      <protection locked="0"/>
    </xf>
    <xf numFmtId="164" fontId="3" fillId="0" borderId="12" xfId="1" applyNumberFormat="1" applyFont="1" applyFill="1" applyBorder="1" applyAlignment="1" applyProtection="1">
      <protection locked="0"/>
    </xf>
    <xf numFmtId="0" fontId="0" fillId="89" borderId="11" xfId="0" applyFill="1" applyBorder="1" applyAlignment="1" applyProtection="1">
      <alignment horizontal="center"/>
    </xf>
    <xf numFmtId="0" fontId="0" fillId="89" borderId="1" xfId="0" applyFill="1" applyBorder="1" applyAlignment="1" applyProtection="1">
      <alignment horizontal="center"/>
    </xf>
    <xf numFmtId="49" fontId="0" fillId="89" borderId="11" xfId="0" applyNumberFormat="1" applyFill="1" applyBorder="1" applyAlignment="1" applyProtection="1">
      <alignment horizontal="center"/>
    </xf>
    <xf numFmtId="0" fontId="0" fillId="0" borderId="5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90" borderId="11" xfId="0" applyFill="1" applyBorder="1" applyAlignment="1" applyProtection="1">
      <alignment horizontal="center"/>
    </xf>
    <xf numFmtId="0" fontId="0" fillId="90" borderId="1" xfId="0" applyFill="1" applyBorder="1" applyAlignment="1" applyProtection="1">
      <alignment horizontal="center"/>
    </xf>
    <xf numFmtId="0" fontId="21" fillId="5" borderId="11" xfId="0" applyFont="1" applyFill="1" applyBorder="1" applyAlignment="1" applyProtection="1">
      <alignment horizontal="center"/>
    </xf>
    <xf numFmtId="0" fontId="21" fillId="5" borderId="1" xfId="0" applyFont="1" applyFill="1" applyBorder="1" applyAlignment="1" applyProtection="1">
      <alignment horizontal="center"/>
    </xf>
    <xf numFmtId="0" fontId="21" fillId="15" borderId="11" xfId="0" applyFont="1" applyFill="1" applyBorder="1" applyAlignment="1" applyProtection="1">
      <alignment horizontal="center"/>
    </xf>
    <xf numFmtId="0" fontId="21" fillId="15" borderId="1" xfId="0" applyFont="1" applyFill="1" applyBorder="1" applyAlignment="1" applyProtection="1">
      <alignment horizontal="center"/>
    </xf>
    <xf numFmtId="0" fontId="21" fillId="3" borderId="11" xfId="0" applyFont="1" applyFill="1" applyBorder="1" applyAlignment="1" applyProtection="1">
      <alignment horizontal="center"/>
    </xf>
    <xf numFmtId="0" fontId="21" fillId="3" borderId="1" xfId="0" applyFont="1" applyFill="1" applyBorder="1" applyAlignment="1" applyProtection="1">
      <alignment horizontal="center"/>
    </xf>
    <xf numFmtId="0" fontId="0" fillId="91" borderId="11" xfId="0" applyFill="1" applyBorder="1" applyAlignment="1" applyProtection="1">
      <alignment horizontal="center"/>
    </xf>
    <xf numFmtId="0" fontId="0" fillId="91" borderId="1" xfId="0" applyFill="1" applyBorder="1" applyAlignment="1" applyProtection="1">
      <alignment horizontal="center"/>
    </xf>
    <xf numFmtId="0" fontId="22" fillId="5" borderId="11" xfId="0" applyFont="1" applyFill="1" applyBorder="1" applyAlignment="1" applyProtection="1">
      <alignment horizontal="center"/>
    </xf>
    <xf numFmtId="0" fontId="22" fillId="5" borderId="1" xfId="0" applyFont="1" applyFill="1" applyBorder="1" applyAlignment="1" applyProtection="1">
      <alignment horizontal="center"/>
    </xf>
    <xf numFmtId="0" fontId="22" fillId="15" borderId="11" xfId="0" applyFont="1" applyFill="1" applyBorder="1" applyAlignment="1" applyProtection="1">
      <alignment horizontal="center"/>
    </xf>
    <xf numFmtId="0" fontId="22" fillId="15" borderId="1" xfId="0" applyFont="1" applyFill="1" applyBorder="1" applyAlignment="1" applyProtection="1">
      <alignment horizontal="center"/>
    </xf>
    <xf numFmtId="0" fontId="22" fillId="3" borderId="11" xfId="0" applyFont="1" applyFill="1" applyBorder="1" applyAlignment="1" applyProtection="1">
      <alignment horizontal="center"/>
    </xf>
    <xf numFmtId="0" fontId="22" fillId="3" borderId="1" xfId="0" applyFont="1" applyFill="1" applyBorder="1" applyAlignment="1" applyProtection="1">
      <alignment horizontal="center"/>
    </xf>
    <xf numFmtId="0" fontId="0" fillId="92" borderId="11" xfId="0" applyFill="1" applyBorder="1" applyAlignment="1" applyProtection="1">
      <alignment horizontal="center"/>
    </xf>
    <xf numFmtId="0" fontId="0" fillId="92" borderId="1" xfId="0" applyFill="1" applyBorder="1" applyAlignment="1" applyProtection="1">
      <alignment horizontal="center"/>
    </xf>
    <xf numFmtId="0" fontId="23" fillId="5" borderId="11" xfId="0" applyFont="1" applyFill="1" applyBorder="1" applyAlignment="1" applyProtection="1">
      <alignment horizontal="center"/>
    </xf>
    <xf numFmtId="0" fontId="23" fillId="5" borderId="1" xfId="0" applyFont="1" applyFill="1" applyBorder="1" applyAlignment="1" applyProtection="1">
      <alignment horizontal="center"/>
    </xf>
    <xf numFmtId="0" fontId="23" fillId="15" borderId="11" xfId="0" applyFont="1" applyFill="1" applyBorder="1" applyAlignment="1" applyProtection="1">
      <alignment horizontal="center"/>
    </xf>
    <xf numFmtId="0" fontId="23" fillId="15" borderId="1" xfId="0" applyFont="1" applyFill="1" applyBorder="1" applyAlignment="1" applyProtection="1">
      <alignment horizontal="center"/>
    </xf>
    <xf numFmtId="0" fontId="23" fillId="3" borderId="11" xfId="0" applyFont="1" applyFill="1" applyBorder="1" applyAlignment="1" applyProtection="1">
      <alignment horizontal="center"/>
    </xf>
    <xf numFmtId="0" fontId="23" fillId="3" borderId="1" xfId="0" applyFont="1" applyFill="1" applyBorder="1" applyAlignment="1" applyProtection="1">
      <alignment horizontal="center"/>
    </xf>
    <xf numFmtId="0" fontId="0" fillId="43" borderId="11" xfId="0" applyFill="1" applyBorder="1" applyAlignment="1" applyProtection="1">
      <alignment horizontal="center"/>
    </xf>
    <xf numFmtId="0" fontId="0" fillId="43" borderId="1" xfId="0" applyFill="1" applyBorder="1" applyAlignment="1" applyProtection="1">
      <alignment horizontal="center"/>
    </xf>
    <xf numFmtId="0" fontId="14" fillId="5" borderId="11" xfId="0" applyFont="1" applyFill="1" applyBorder="1" applyAlignment="1" applyProtection="1">
      <alignment horizontal="center"/>
    </xf>
    <xf numFmtId="0" fontId="14" fillId="5" borderId="1" xfId="0" applyFont="1" applyFill="1" applyBorder="1" applyAlignment="1" applyProtection="1">
      <alignment horizontal="center"/>
    </xf>
    <xf numFmtId="0" fontId="14" fillId="15" borderId="11" xfId="0" applyFont="1" applyFill="1" applyBorder="1" applyAlignment="1" applyProtection="1">
      <alignment horizontal="center"/>
    </xf>
    <xf numFmtId="0" fontId="14" fillId="15" borderId="1" xfId="0" applyFont="1" applyFill="1" applyBorder="1" applyAlignment="1" applyProtection="1">
      <alignment horizontal="center"/>
    </xf>
    <xf numFmtId="0" fontId="14" fillId="3" borderId="11" xfId="0" applyFont="1" applyFill="1" applyBorder="1" applyAlignment="1" applyProtection="1">
      <alignment horizontal="center"/>
    </xf>
    <xf numFmtId="0" fontId="14" fillId="3" borderId="1" xfId="0" applyFont="1" applyFill="1" applyBorder="1" applyAlignment="1" applyProtection="1">
      <alignment horizontal="center"/>
    </xf>
    <xf numFmtId="0" fontId="0" fillId="93" borderId="11" xfId="0" applyFill="1" applyBorder="1" applyAlignment="1" applyProtection="1">
      <alignment horizontal="center"/>
    </xf>
    <xf numFmtId="0" fontId="0" fillId="93" borderId="1" xfId="0" applyFill="1" applyBorder="1" applyAlignment="1" applyProtection="1">
      <alignment horizontal="center"/>
    </xf>
    <xf numFmtId="0" fontId="24" fillId="5" borderId="11" xfId="0" applyFont="1" applyFill="1" applyBorder="1" applyAlignment="1" applyProtection="1">
      <alignment horizontal="center"/>
    </xf>
    <xf numFmtId="0" fontId="24" fillId="5" borderId="1" xfId="0" applyFont="1" applyFill="1" applyBorder="1" applyAlignment="1" applyProtection="1">
      <alignment horizontal="center"/>
    </xf>
    <xf numFmtId="0" fontId="24" fillId="15" borderId="11" xfId="0" applyFont="1" applyFill="1" applyBorder="1" applyAlignment="1" applyProtection="1">
      <alignment horizontal="center"/>
    </xf>
    <xf numFmtId="0" fontId="24" fillId="15" borderId="1" xfId="0" applyFont="1" applyFill="1" applyBorder="1" applyAlignment="1" applyProtection="1">
      <alignment horizontal="center"/>
    </xf>
    <xf numFmtId="0" fontId="24" fillId="3" borderId="11" xfId="0" applyFont="1" applyFill="1" applyBorder="1" applyAlignment="1" applyProtection="1">
      <alignment horizontal="center"/>
    </xf>
    <xf numFmtId="0" fontId="24" fillId="3" borderId="1" xfId="0" applyFont="1" applyFill="1" applyBorder="1" applyAlignment="1" applyProtection="1">
      <alignment horizontal="center"/>
    </xf>
    <xf numFmtId="0" fontId="0" fillId="94" borderId="11" xfId="0" applyFill="1" applyBorder="1" applyAlignment="1" applyProtection="1">
      <alignment horizontal="center"/>
    </xf>
    <xf numFmtId="0" fontId="0" fillId="94" borderId="1" xfId="0" applyFill="1" applyBorder="1" applyAlignment="1" applyProtection="1">
      <alignment horizontal="center"/>
    </xf>
    <xf numFmtId="0" fontId="25" fillId="5" borderId="11" xfId="0" applyFont="1" applyFill="1" applyBorder="1" applyAlignment="1" applyProtection="1">
      <alignment horizontal="center"/>
    </xf>
    <xf numFmtId="0" fontId="25" fillId="5" borderId="1" xfId="0" applyFont="1" applyFill="1" applyBorder="1" applyAlignment="1" applyProtection="1">
      <alignment horizontal="center"/>
    </xf>
    <xf numFmtId="0" fontId="25" fillId="15" borderId="11" xfId="0" applyFont="1" applyFill="1" applyBorder="1" applyAlignment="1" applyProtection="1">
      <alignment horizontal="center"/>
    </xf>
    <xf numFmtId="0" fontId="25" fillId="15" borderId="1" xfId="0" applyFont="1" applyFill="1" applyBorder="1" applyAlignment="1" applyProtection="1">
      <alignment horizontal="center"/>
    </xf>
    <xf numFmtId="0" fontId="25" fillId="3" borderId="11" xfId="0" applyFont="1" applyFill="1" applyBorder="1" applyAlignment="1" applyProtection="1">
      <alignment horizontal="center"/>
    </xf>
    <xf numFmtId="0" fontId="25" fillId="3" borderId="1" xfId="0" applyFont="1" applyFill="1" applyBorder="1" applyAlignment="1" applyProtection="1">
      <alignment horizontal="center"/>
    </xf>
    <xf numFmtId="0" fontId="0" fillId="95" borderId="11" xfId="0" applyFill="1" applyBorder="1" applyAlignment="1" applyProtection="1">
      <alignment horizontal="center"/>
    </xf>
    <xf numFmtId="0" fontId="0" fillId="95" borderId="1" xfId="0" applyFill="1" applyBorder="1" applyAlignment="1" applyProtection="1">
      <alignment horizontal="center"/>
    </xf>
    <xf numFmtId="0" fontId="26" fillId="5" borderId="11" xfId="0" applyFont="1" applyFill="1" applyBorder="1" applyAlignment="1" applyProtection="1">
      <alignment horizontal="center"/>
    </xf>
    <xf numFmtId="0" fontId="26" fillId="5" borderId="1" xfId="0" applyFont="1" applyFill="1" applyBorder="1" applyAlignment="1" applyProtection="1">
      <alignment horizontal="center"/>
    </xf>
    <xf numFmtId="0" fontId="26" fillId="15" borderId="11" xfId="0" applyFont="1" applyFill="1" applyBorder="1" applyAlignment="1" applyProtection="1">
      <alignment horizontal="center"/>
    </xf>
    <xf numFmtId="0" fontId="26" fillId="15" borderId="1" xfId="0" applyFont="1" applyFill="1" applyBorder="1" applyAlignment="1" applyProtection="1">
      <alignment horizontal="center"/>
    </xf>
    <xf numFmtId="0" fontId="26" fillId="3" borderId="11" xfId="0" applyFont="1" applyFill="1" applyBorder="1" applyAlignment="1" applyProtection="1">
      <alignment horizontal="center"/>
    </xf>
    <xf numFmtId="0" fontId="26" fillId="3" borderId="1" xfId="0" applyFont="1" applyFill="1" applyBorder="1" applyAlignment="1" applyProtection="1">
      <alignment horizontal="center"/>
    </xf>
    <xf numFmtId="0" fontId="0" fillId="96" borderId="11" xfId="0" applyFill="1" applyBorder="1" applyAlignment="1" applyProtection="1">
      <alignment horizontal="center"/>
    </xf>
    <xf numFmtId="0" fontId="0" fillId="96" borderId="1" xfId="0" applyFill="1" applyBorder="1" applyAlignment="1" applyProtection="1">
      <alignment horizontal="center"/>
    </xf>
    <xf numFmtId="0" fontId="27" fillId="5" borderId="11" xfId="0" applyFont="1" applyFill="1" applyBorder="1" applyAlignment="1" applyProtection="1">
      <alignment horizontal="center"/>
    </xf>
    <xf numFmtId="0" fontId="27" fillId="5" borderId="1" xfId="0" applyFont="1" applyFill="1" applyBorder="1" applyAlignment="1" applyProtection="1">
      <alignment horizontal="center"/>
    </xf>
    <xf numFmtId="0" fontId="27" fillId="15" borderId="11" xfId="0" applyFont="1" applyFill="1" applyBorder="1" applyAlignment="1" applyProtection="1">
      <alignment horizontal="center"/>
    </xf>
    <xf numFmtId="0" fontId="27" fillId="15" borderId="1" xfId="0" applyFont="1" applyFill="1" applyBorder="1" applyAlignment="1" applyProtection="1">
      <alignment horizontal="center"/>
    </xf>
    <xf numFmtId="0" fontId="27" fillId="3" borderId="11" xfId="0" applyFont="1" applyFill="1" applyBorder="1" applyAlignment="1" applyProtection="1">
      <alignment horizontal="center"/>
    </xf>
    <xf numFmtId="0" fontId="27" fillId="3" borderId="1" xfId="0" applyFont="1" applyFill="1" applyBorder="1" applyAlignment="1" applyProtection="1">
      <alignment horizontal="center"/>
    </xf>
    <xf numFmtId="0" fontId="0" fillId="97" borderId="11" xfId="0" applyFill="1" applyBorder="1" applyAlignment="1" applyProtection="1">
      <alignment horizontal="center"/>
    </xf>
    <xf numFmtId="0" fontId="0" fillId="97" borderId="1" xfId="0" applyFill="1" applyBorder="1" applyAlignment="1" applyProtection="1">
      <alignment horizontal="center"/>
    </xf>
    <xf numFmtId="0" fontId="28" fillId="5" borderId="11" xfId="0" applyFont="1" applyFill="1" applyBorder="1" applyAlignment="1" applyProtection="1">
      <alignment horizontal="center"/>
    </xf>
    <xf numFmtId="0" fontId="28" fillId="5" borderId="1" xfId="0" applyFont="1" applyFill="1" applyBorder="1" applyAlignment="1" applyProtection="1">
      <alignment horizontal="center"/>
    </xf>
    <xf numFmtId="0" fontId="28" fillId="15" borderId="11" xfId="0" applyFont="1" applyFill="1" applyBorder="1" applyAlignment="1" applyProtection="1">
      <alignment horizontal="center"/>
    </xf>
    <xf numFmtId="0" fontId="28" fillId="15" borderId="1" xfId="0" applyFont="1" applyFill="1" applyBorder="1" applyAlignment="1" applyProtection="1">
      <alignment horizontal="center"/>
    </xf>
    <xf numFmtId="0" fontId="28" fillId="3" borderId="11" xfId="0" applyFont="1" applyFill="1" applyBorder="1" applyAlignment="1" applyProtection="1">
      <alignment horizontal="center"/>
    </xf>
    <xf numFmtId="0" fontId="28" fillId="3" borderId="1" xfId="0" applyFont="1" applyFill="1" applyBorder="1" applyAlignment="1" applyProtection="1">
      <alignment horizontal="center"/>
    </xf>
    <xf numFmtId="0" fontId="3" fillId="0" borderId="0" xfId="1" applyFont="1" applyProtection="1"/>
    <xf numFmtId="0" fontId="20" fillId="0" borderId="0" xfId="0" applyFont="1" applyProtection="1"/>
    <xf numFmtId="0" fontId="0" fillId="0" borderId="8" xfId="0" applyFont="1" applyBorder="1" applyAlignment="1" applyProtection="1">
      <alignment horizontal="center" shrinkToFit="1"/>
    </xf>
    <xf numFmtId="0" fontId="0" fillId="0" borderId="6" xfId="0" applyFont="1" applyBorder="1" applyAlignment="1" applyProtection="1">
      <alignment horizontal="center" shrinkToFit="1"/>
    </xf>
    <xf numFmtId="0" fontId="0" fillId="0" borderId="7" xfId="0" applyFont="1" applyBorder="1" applyAlignment="1" applyProtection="1">
      <alignment horizontal="center" shrinkToFit="1"/>
    </xf>
    <xf numFmtId="0" fontId="0" fillId="0" borderId="8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13" xfId="0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/>
    </xf>
    <xf numFmtId="0" fontId="3" fillId="0" borderId="2" xfId="1" applyFont="1" applyBorder="1" applyAlignment="1">
      <alignment shrinkToFit="1"/>
    </xf>
    <xf numFmtId="0" fontId="3" fillId="0" borderId="3" xfId="1" applyFont="1" applyBorder="1" applyAlignment="1">
      <alignment shrinkToFi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8" xfId="0" applyFont="1" applyBorder="1" applyAlignment="1">
      <alignment horizontal="center" shrinkToFit="1"/>
    </xf>
    <xf numFmtId="0" fontId="0" fillId="0" borderId="6" xfId="0" applyFont="1" applyBorder="1" applyAlignment="1">
      <alignment horizontal="center" shrinkToFit="1"/>
    </xf>
    <xf numFmtId="0" fontId="0" fillId="0" borderId="7" xfId="0" applyFont="1" applyBorder="1" applyAlignment="1">
      <alignment horizontal="center" shrinkToFi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0" borderId="2" xfId="1" applyFont="1" applyBorder="1" applyAlignment="1"/>
    <xf numFmtId="0" fontId="3" fillId="0" borderId="3" xfId="1" applyFont="1" applyBorder="1" applyAlignment="1"/>
    <xf numFmtId="0" fontId="3" fillId="0" borderId="0" xfId="1" applyFont="1" applyBorder="1"/>
    <xf numFmtId="0" fontId="3" fillId="0" borderId="2" xfId="1" applyFont="1" applyBorder="1"/>
    <xf numFmtId="0" fontId="3" fillId="0" borderId="3" xfId="1" applyFont="1" applyBorder="1"/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0" fontId="0" fillId="98" borderId="13" xfId="0" applyFill="1" applyBorder="1" applyAlignment="1" applyProtection="1">
      <alignment horizontal="center"/>
    </xf>
    <xf numFmtId="0" fontId="0" fillId="98" borderId="11" xfId="0" applyFill="1" applyBorder="1" applyAlignment="1" applyProtection="1">
      <alignment horizontal="center"/>
    </xf>
    <xf numFmtId="0" fontId="0" fillId="99" borderId="11" xfId="0" applyFill="1" applyBorder="1" applyAlignment="1" applyProtection="1">
      <alignment horizontal="center"/>
    </xf>
    <xf numFmtId="49" fontId="0" fillId="100" borderId="11" xfId="0" applyNumberFormat="1" applyFill="1" applyBorder="1" applyAlignment="1" applyProtection="1">
      <alignment horizontal="center"/>
    </xf>
    <xf numFmtId="49" fontId="0" fillId="101" borderId="11" xfId="0" applyNumberFormat="1" applyFill="1" applyBorder="1" applyAlignment="1" applyProtection="1">
      <alignment horizontal="center"/>
    </xf>
    <xf numFmtId="0" fontId="0" fillId="101" borderId="11" xfId="0" applyFill="1" applyBorder="1" applyAlignment="1" applyProtection="1">
      <alignment horizontal="center"/>
    </xf>
    <xf numFmtId="0" fontId="0" fillId="98" borderId="15" xfId="0" applyFill="1" applyBorder="1" applyAlignment="1" applyProtection="1">
      <alignment horizontal="center"/>
    </xf>
    <xf numFmtId="0" fontId="0" fillId="98" borderId="1" xfId="0" applyFill="1" applyBorder="1" applyAlignment="1" applyProtection="1">
      <alignment horizontal="center"/>
    </xf>
    <xf numFmtId="0" fontId="0" fillId="99" borderId="1" xfId="0" applyFill="1" applyBorder="1" applyAlignment="1" applyProtection="1">
      <alignment horizontal="center"/>
    </xf>
    <xf numFmtId="0" fontId="0" fillId="100" borderId="1" xfId="0" applyFill="1" applyBorder="1" applyAlignment="1" applyProtection="1">
      <alignment horizontal="center"/>
    </xf>
    <xf numFmtId="0" fontId="0" fillId="101" borderId="1" xfId="0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080FF"/>
      <color rgb="FF80FF80"/>
      <color rgb="FFFF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Green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Magenta" TargetMode="External"/><Relationship Id="rId7" Type="http://schemas.openxmlformats.org/officeDocument/2006/relationships/hyperlink" Target="https://en.wikipedia.org/wiki/Spring_green" TargetMode="External"/><Relationship Id="rId12" Type="http://schemas.openxmlformats.org/officeDocument/2006/relationships/hyperlink" Target="https://en.wikipedia.org/wiki/Red" TargetMode="External"/><Relationship Id="rId2" Type="http://schemas.openxmlformats.org/officeDocument/2006/relationships/hyperlink" Target="https://en.wikipedia.org/wiki/Violet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Cyan" TargetMode="External"/><Relationship Id="rId11" Type="http://schemas.openxmlformats.org/officeDocument/2006/relationships/hyperlink" Target="https://en.wikipedia.org/wiki/Orange_(colour)" TargetMode="External"/><Relationship Id="rId5" Type="http://schemas.openxmlformats.org/officeDocument/2006/relationships/hyperlink" Target="https://en.wikipedia.org/wiki/Azure_(color)" TargetMode="External"/><Relationship Id="rId10" Type="http://schemas.openxmlformats.org/officeDocument/2006/relationships/hyperlink" Target="https://en.wikipedia.org/wiki/Yellow" TargetMode="External"/><Relationship Id="rId4" Type="http://schemas.openxmlformats.org/officeDocument/2006/relationships/hyperlink" Target="https://en.wikipedia.org/wiki/Blue" TargetMode="External"/><Relationship Id="rId9" Type="http://schemas.openxmlformats.org/officeDocument/2006/relationships/hyperlink" Target="https://en.wikipedia.org/wiki/Chartreuse_(color)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Yellow" TargetMode="External"/><Relationship Id="rId3" Type="http://schemas.openxmlformats.org/officeDocument/2006/relationships/hyperlink" Target="https://en.wikipedia.org/wiki/Yellow" TargetMode="External"/><Relationship Id="rId7" Type="http://schemas.openxmlformats.org/officeDocument/2006/relationships/hyperlink" Target="https://en.wikipedia.org/wiki/Chartreuse_(color)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en.wikipedia.org/wiki/Chartreuse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Green" TargetMode="External"/><Relationship Id="rId11" Type="http://schemas.openxmlformats.org/officeDocument/2006/relationships/hyperlink" Target="https://en.wikipedia.org/wiki/Green" TargetMode="External"/><Relationship Id="rId5" Type="http://schemas.openxmlformats.org/officeDocument/2006/relationships/hyperlink" Target="https://en.wikipedia.org/wiki/Red" TargetMode="External"/><Relationship Id="rId10" Type="http://schemas.openxmlformats.org/officeDocument/2006/relationships/hyperlink" Target="https://en.wikipedia.org/wiki/Red" TargetMode="External"/><Relationship Id="rId4" Type="http://schemas.openxmlformats.org/officeDocument/2006/relationships/hyperlink" Target="https://en.wikipedia.org/wiki/Orange_(colour)" TargetMode="External"/><Relationship Id="rId9" Type="http://schemas.openxmlformats.org/officeDocument/2006/relationships/hyperlink" Target="https://en.wikipedia.org/wiki/Orange_(colour)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eloper.tizen.org/design/wearable/visual-design/color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n.wikipedia.org/wiki/Alpha_composit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.wikipedia.org/wiki/Alpha_composit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ckoverflow.com/a/29321264/90727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24"/>
  <sheetViews>
    <sheetView tabSelected="1"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5" x14ac:dyDescent="0.35"/>
  <cols>
    <col min="1" max="1" width="7.7265625" customWidth="1"/>
    <col min="2" max="6" width="6.7265625" customWidth="1"/>
    <col min="7" max="7" width="17.7265625" bestFit="1" customWidth="1"/>
    <col min="8" max="21" width="4.7265625" customWidth="1"/>
    <col min="22" max="23" width="8.7265625" customWidth="1"/>
  </cols>
  <sheetData>
    <row r="1" spans="1:23" x14ac:dyDescent="0.35">
      <c r="A1" s="468" t="s">
        <v>81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35">
      <c r="A2" s="101" t="s">
        <v>20</v>
      </c>
      <c r="B2" s="481" t="s">
        <v>34</v>
      </c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3"/>
      <c r="P2" s="470" t="s">
        <v>24</v>
      </c>
      <c r="Q2" s="471"/>
      <c r="R2" s="471"/>
      <c r="S2" s="471"/>
      <c r="T2" s="471"/>
      <c r="U2" s="472"/>
      <c r="V2" s="473" t="s">
        <v>21</v>
      </c>
      <c r="W2" s="474"/>
    </row>
    <row r="3" spans="1:23" x14ac:dyDescent="0.35">
      <c r="A3" s="57">
        <v>2.2000000000000002</v>
      </c>
      <c r="B3" s="484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6"/>
      <c r="P3" s="475" t="s">
        <v>18</v>
      </c>
      <c r="Q3" s="476"/>
      <c r="R3" s="477"/>
      <c r="S3" s="478" t="str">
        <f>"γ = "&amp;gamma</f>
        <v>γ = 2.2</v>
      </c>
      <c r="T3" s="479"/>
      <c r="U3" s="480"/>
      <c r="V3" s="102" t="str">
        <f>P3</f>
        <v>γ = 1</v>
      </c>
      <c r="W3" s="103" t="str">
        <f>S3</f>
        <v>γ = 2.2</v>
      </c>
    </row>
    <row r="4" spans="1:23" x14ac:dyDescent="0.35">
      <c r="A4" s="104" t="s">
        <v>29</v>
      </c>
      <c r="B4" s="97" t="s">
        <v>27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35">
      <c r="A5" s="107" t="s">
        <v>28</v>
      </c>
      <c r="B5" s="137">
        <v>-10</v>
      </c>
      <c r="C5" s="92">
        <v>1</v>
      </c>
      <c r="D5" s="92">
        <v>0</v>
      </c>
      <c r="E5" s="92">
        <v>1</v>
      </c>
      <c r="F5" s="93">
        <v>1</v>
      </c>
      <c r="G5" s="390" t="s">
        <v>112</v>
      </c>
      <c r="H5" s="108">
        <f>ROUND(C5*255,0)</f>
        <v>255</v>
      </c>
      <c r="I5" s="108">
        <f>ROUND(D5*255,0)</f>
        <v>0</v>
      </c>
      <c r="J5" s="108">
        <f>ROUND(E5*255,0)</f>
        <v>255</v>
      </c>
      <c r="K5" s="109">
        <f>ROUND(F5*255,0)</f>
        <v>255</v>
      </c>
      <c r="L5" s="108" t="str">
        <f>DEC2HEX(H5,2)</f>
        <v>FF</v>
      </c>
      <c r="M5" s="108" t="str">
        <f t="shared" ref="M5:O5" si="3">DEC2HEX(I5,2)</f>
        <v>00</v>
      </c>
      <c r="N5" s="108" t="str">
        <f t="shared" si="3"/>
        <v>FF</v>
      </c>
      <c r="O5" s="109" t="str">
        <f t="shared" si="3"/>
        <v>FF</v>
      </c>
      <c r="P5" s="110">
        <f>ROUND((C5*$F5+P$1/255*(1-$F5))*255,0)</f>
        <v>255</v>
      </c>
      <c r="Q5" s="110">
        <f>ROUND((D5*$F5+Q$1/255*(1-$F5))*255,0)</f>
        <v>0</v>
      </c>
      <c r="R5" s="111">
        <f>ROUND((E5*$F5+R$1/255*(1-$F5))*255,0)</f>
        <v>255</v>
      </c>
      <c r="S5" s="112">
        <f t="shared" ref="S5:S24" si="4">ROUND((C5^gamma*$F5+(S$1/255)^gamma*(1-$F5))^(1/gamma)*255,0)</f>
        <v>255</v>
      </c>
      <c r="T5" s="112">
        <f t="shared" ref="T5:T24" si="5">ROUND((D5^gamma*$F5+(T$1/255)^gamma*(1-$F5))^(1/gamma)*255,0)</f>
        <v>0</v>
      </c>
      <c r="U5" s="112">
        <f t="shared" ref="U5:U24" si="6">ROUND((E5^gamma*$F5+(U$1/255)^gamma*(1-$F5))^(1/gamma)*255,0)</f>
        <v>255</v>
      </c>
      <c r="V5" s="518"/>
      <c r="W5" s="524"/>
    </row>
    <row r="6" spans="1:23" x14ac:dyDescent="0.35">
      <c r="A6" s="113" t="str">
        <f>A5</f>
        <v xml:space="preserve">point = </v>
      </c>
      <c r="B6" s="58">
        <v>-5</v>
      </c>
      <c r="C6" s="95">
        <f>C5</f>
        <v>1</v>
      </c>
      <c r="D6" s="95">
        <f>D5</f>
        <v>0</v>
      </c>
      <c r="E6" s="95">
        <f>E5</f>
        <v>1</v>
      </c>
      <c r="F6" s="94">
        <f t="shared" ref="F6" si="7">F5</f>
        <v>1</v>
      </c>
      <c r="G6" s="387" t="str">
        <f>G5</f>
        <v>; magenta</v>
      </c>
      <c r="H6" s="114">
        <f t="shared" ref="H6:H24" si="8">ROUND(C6*255,0)</f>
        <v>255</v>
      </c>
      <c r="I6" s="114">
        <f t="shared" ref="I6:I24" si="9">ROUND(D6*255,0)</f>
        <v>0</v>
      </c>
      <c r="J6" s="114">
        <f t="shared" ref="J6:J24" si="10">ROUND(E6*255,0)</f>
        <v>255</v>
      </c>
      <c r="K6" s="115">
        <f t="shared" ref="K6:K24" si="11">ROUND(F6*255,0)</f>
        <v>255</v>
      </c>
      <c r="L6" s="114" t="str">
        <f t="shared" ref="L6:L24" si="12">DEC2HEX(H6,2)</f>
        <v>FF</v>
      </c>
      <c r="M6" s="114" t="str">
        <f t="shared" ref="M6:M24" si="13">DEC2HEX(I6,2)</f>
        <v>00</v>
      </c>
      <c r="N6" s="114" t="str">
        <f t="shared" ref="N6:N24" si="14">DEC2HEX(J6,2)</f>
        <v>FF</v>
      </c>
      <c r="O6" s="115" t="str">
        <f t="shared" ref="O6:O24" si="15">DEC2HEX(K6,2)</f>
        <v>FF</v>
      </c>
      <c r="P6" s="116">
        <f t="shared" ref="P6:P24" si="16">ROUND((C6*$F6+P$1/255*(1-$F6))*255,0)</f>
        <v>255</v>
      </c>
      <c r="Q6" s="116">
        <f t="shared" ref="Q6:Q24" si="17">ROUND((D6*$F6+Q$1/255*(1-$F6))*255,0)</f>
        <v>0</v>
      </c>
      <c r="R6" s="117">
        <f t="shared" ref="R6:R24" si="18">ROUND((E6*$F6+R$1/255*(1-$F6))*255,0)</f>
        <v>255</v>
      </c>
      <c r="S6" s="118">
        <f t="shared" si="4"/>
        <v>255</v>
      </c>
      <c r="T6" s="118">
        <f t="shared" si="5"/>
        <v>0</v>
      </c>
      <c r="U6" s="118">
        <f t="shared" si="6"/>
        <v>255</v>
      </c>
      <c r="V6" s="519"/>
      <c r="W6" s="525"/>
    </row>
    <row r="7" spans="1:23" x14ac:dyDescent="0.35">
      <c r="A7" s="113" t="str">
        <f t="shared" ref="A7:A24" si="19">A6</f>
        <v xml:space="preserve">point = </v>
      </c>
      <c r="B7" s="58">
        <f>B6</f>
        <v>-5</v>
      </c>
      <c r="C7" s="95">
        <v>0.5</v>
      </c>
      <c r="D7" s="95">
        <v>0</v>
      </c>
      <c r="E7" s="95">
        <v>1</v>
      </c>
      <c r="F7" s="94">
        <f>F6</f>
        <v>1</v>
      </c>
      <c r="G7" s="389" t="s">
        <v>113</v>
      </c>
      <c r="H7" s="114">
        <f t="shared" si="8"/>
        <v>128</v>
      </c>
      <c r="I7" s="114">
        <f t="shared" si="9"/>
        <v>0</v>
      </c>
      <c r="J7" s="114">
        <f t="shared" si="10"/>
        <v>255</v>
      </c>
      <c r="K7" s="115">
        <f t="shared" si="11"/>
        <v>255</v>
      </c>
      <c r="L7" s="114" t="str">
        <f t="shared" si="12"/>
        <v>80</v>
      </c>
      <c r="M7" s="114" t="str">
        <f t="shared" si="13"/>
        <v>00</v>
      </c>
      <c r="N7" s="114" t="str">
        <f t="shared" si="14"/>
        <v>FF</v>
      </c>
      <c r="O7" s="115" t="str">
        <f t="shared" si="15"/>
        <v>FF</v>
      </c>
      <c r="P7" s="116">
        <f t="shared" si="16"/>
        <v>128</v>
      </c>
      <c r="Q7" s="116">
        <f t="shared" si="17"/>
        <v>0</v>
      </c>
      <c r="R7" s="117">
        <f t="shared" si="18"/>
        <v>255</v>
      </c>
      <c r="S7" s="118">
        <f t="shared" si="4"/>
        <v>128</v>
      </c>
      <c r="T7" s="118">
        <f t="shared" si="5"/>
        <v>0</v>
      </c>
      <c r="U7" s="118">
        <f t="shared" si="6"/>
        <v>255</v>
      </c>
      <c r="V7" s="520"/>
      <c r="W7" s="526"/>
    </row>
    <row r="8" spans="1:23" x14ac:dyDescent="0.35">
      <c r="A8" s="113" t="str">
        <f t="shared" si="19"/>
        <v xml:space="preserve">point = </v>
      </c>
      <c r="B8" s="58">
        <v>-4</v>
      </c>
      <c r="C8" s="95">
        <f>C7</f>
        <v>0.5</v>
      </c>
      <c r="D8" s="95">
        <f t="shared" ref="D8:E8" si="20">D7</f>
        <v>0</v>
      </c>
      <c r="E8" s="95">
        <f t="shared" si="20"/>
        <v>1</v>
      </c>
      <c r="F8" s="94">
        <f>F7</f>
        <v>1</v>
      </c>
      <c r="G8" s="14" t="str">
        <f>G7</f>
        <v>; violet</v>
      </c>
      <c r="H8" s="114">
        <f t="shared" si="8"/>
        <v>128</v>
      </c>
      <c r="I8" s="114">
        <f t="shared" si="9"/>
        <v>0</v>
      </c>
      <c r="J8" s="114">
        <f t="shared" si="10"/>
        <v>255</v>
      </c>
      <c r="K8" s="115">
        <f t="shared" si="11"/>
        <v>255</v>
      </c>
      <c r="L8" s="114" t="str">
        <f t="shared" si="12"/>
        <v>80</v>
      </c>
      <c r="M8" s="114" t="str">
        <f t="shared" si="13"/>
        <v>00</v>
      </c>
      <c r="N8" s="114" t="str">
        <f t="shared" si="14"/>
        <v>FF</v>
      </c>
      <c r="O8" s="115" t="str">
        <f t="shared" si="15"/>
        <v>FF</v>
      </c>
      <c r="P8" s="116">
        <f t="shared" si="16"/>
        <v>128</v>
      </c>
      <c r="Q8" s="116">
        <f t="shared" si="17"/>
        <v>0</v>
      </c>
      <c r="R8" s="117">
        <f t="shared" si="18"/>
        <v>255</v>
      </c>
      <c r="S8" s="118">
        <f t="shared" si="4"/>
        <v>128</v>
      </c>
      <c r="T8" s="118">
        <f t="shared" si="5"/>
        <v>0</v>
      </c>
      <c r="U8" s="118">
        <f t="shared" si="6"/>
        <v>255</v>
      </c>
      <c r="V8" s="520"/>
      <c r="W8" s="526"/>
    </row>
    <row r="9" spans="1:23" x14ac:dyDescent="0.35">
      <c r="A9" s="113" t="str">
        <f t="shared" si="19"/>
        <v xml:space="preserve">point = </v>
      </c>
      <c r="B9" s="58">
        <f>B8</f>
        <v>-4</v>
      </c>
      <c r="C9" s="95">
        <v>0</v>
      </c>
      <c r="D9" s="95">
        <v>0</v>
      </c>
      <c r="E9" s="95">
        <v>1</v>
      </c>
      <c r="F9" s="94">
        <f t="shared" ref="F9:F12" si="21">F8</f>
        <v>1</v>
      </c>
      <c r="G9" s="389" t="s">
        <v>114</v>
      </c>
      <c r="H9" s="114">
        <f t="shared" si="8"/>
        <v>0</v>
      </c>
      <c r="I9" s="114">
        <f t="shared" si="9"/>
        <v>0</v>
      </c>
      <c r="J9" s="114">
        <f t="shared" si="10"/>
        <v>255</v>
      </c>
      <c r="K9" s="115">
        <f t="shared" si="11"/>
        <v>255</v>
      </c>
      <c r="L9" s="119" t="str">
        <f t="shared" si="12"/>
        <v>00</v>
      </c>
      <c r="M9" s="119" t="str">
        <f t="shared" si="13"/>
        <v>00</v>
      </c>
      <c r="N9" s="119" t="str">
        <f t="shared" si="14"/>
        <v>FF</v>
      </c>
      <c r="O9" s="120" t="str">
        <f t="shared" si="15"/>
        <v>FF</v>
      </c>
      <c r="P9" s="119">
        <f t="shared" si="16"/>
        <v>0</v>
      </c>
      <c r="Q9" s="119">
        <f t="shared" si="17"/>
        <v>0</v>
      </c>
      <c r="R9" s="120">
        <f t="shared" si="18"/>
        <v>255</v>
      </c>
      <c r="S9" s="121">
        <f t="shared" si="4"/>
        <v>0</v>
      </c>
      <c r="T9" s="121">
        <f t="shared" si="5"/>
        <v>0</v>
      </c>
      <c r="U9" s="121">
        <f t="shared" si="6"/>
        <v>255</v>
      </c>
      <c r="V9" s="521"/>
      <c r="W9" s="527"/>
    </row>
    <row r="10" spans="1:23" x14ac:dyDescent="0.35">
      <c r="A10" s="113" t="str">
        <f t="shared" si="19"/>
        <v xml:space="preserve">point = </v>
      </c>
      <c r="B10" s="58">
        <v>-3</v>
      </c>
      <c r="C10" s="95">
        <f>C9</f>
        <v>0</v>
      </c>
      <c r="D10" s="95">
        <f t="shared" ref="D10:E10" si="22">D9</f>
        <v>0</v>
      </c>
      <c r="E10" s="95">
        <f t="shared" si="22"/>
        <v>1</v>
      </c>
      <c r="F10" s="94">
        <f t="shared" si="21"/>
        <v>1</v>
      </c>
      <c r="G10" s="387" t="str">
        <f>G9</f>
        <v>; blue</v>
      </c>
      <c r="H10" s="114">
        <f t="shared" ref="H10:H11" si="23">ROUND(C10*255,0)</f>
        <v>0</v>
      </c>
      <c r="I10" s="114">
        <f t="shared" ref="I10:I11" si="24">ROUND(D10*255,0)</f>
        <v>0</v>
      </c>
      <c r="J10" s="114">
        <f t="shared" ref="J10:J11" si="25">ROUND(E10*255,0)</f>
        <v>255</v>
      </c>
      <c r="K10" s="115">
        <f t="shared" ref="K10:K11" si="26">ROUND(F10*255,0)</f>
        <v>255</v>
      </c>
      <c r="L10" s="119" t="str">
        <f t="shared" ref="L10:L11" si="27">DEC2HEX(H10,2)</f>
        <v>00</v>
      </c>
      <c r="M10" s="119" t="str">
        <f t="shared" ref="M10:M11" si="28">DEC2HEX(I10,2)</f>
        <v>00</v>
      </c>
      <c r="N10" s="119" t="str">
        <f t="shared" ref="N10:N11" si="29">DEC2HEX(J10,2)</f>
        <v>FF</v>
      </c>
      <c r="O10" s="120" t="str">
        <f t="shared" ref="O10:O11" si="30">DEC2HEX(K10,2)</f>
        <v>FF</v>
      </c>
      <c r="P10" s="119">
        <f t="shared" ref="P10:P11" si="31">ROUND((C10*$F10+P$1/255*(1-$F10))*255,0)</f>
        <v>0</v>
      </c>
      <c r="Q10" s="119">
        <f t="shared" ref="Q10:Q11" si="32">ROUND((D10*$F10+Q$1/255*(1-$F10))*255,0)</f>
        <v>0</v>
      </c>
      <c r="R10" s="120">
        <f t="shared" ref="R10:R11" si="33">ROUND((E10*$F10+R$1/255*(1-$F10))*255,0)</f>
        <v>255</v>
      </c>
      <c r="S10" s="121">
        <f t="shared" ref="S10:S11" si="34">ROUND((C10^gamma*$F10+(S$1/255)^gamma*(1-$F10))^(1/gamma)*255,0)</f>
        <v>0</v>
      </c>
      <c r="T10" s="121">
        <f t="shared" ref="T10:T11" si="35">ROUND((D10^gamma*$F10+(T$1/255)^gamma*(1-$F10))^(1/gamma)*255,0)</f>
        <v>0</v>
      </c>
      <c r="U10" s="121">
        <f t="shared" ref="U10:U11" si="36">ROUND((E10^gamma*$F10+(U$1/255)^gamma*(1-$F10))^(1/gamma)*255,0)</f>
        <v>255</v>
      </c>
      <c r="V10" s="521"/>
      <c r="W10" s="527"/>
    </row>
    <row r="11" spans="1:23" x14ac:dyDescent="0.35">
      <c r="A11" s="113" t="str">
        <f t="shared" si="19"/>
        <v xml:space="preserve">point = </v>
      </c>
      <c r="B11" s="58">
        <f>B10</f>
        <v>-3</v>
      </c>
      <c r="C11" s="95">
        <v>0</v>
      </c>
      <c r="D11" s="95">
        <v>0.5</v>
      </c>
      <c r="E11" s="95">
        <v>1</v>
      </c>
      <c r="F11" s="94">
        <f t="shared" si="21"/>
        <v>1</v>
      </c>
      <c r="G11" s="389" t="s">
        <v>115</v>
      </c>
      <c r="H11" s="114">
        <f t="shared" si="23"/>
        <v>0</v>
      </c>
      <c r="I11" s="114">
        <f t="shared" si="24"/>
        <v>128</v>
      </c>
      <c r="J11" s="114">
        <f t="shared" si="25"/>
        <v>255</v>
      </c>
      <c r="K11" s="115">
        <f t="shared" si="26"/>
        <v>255</v>
      </c>
      <c r="L11" s="119" t="str">
        <f t="shared" si="27"/>
        <v>00</v>
      </c>
      <c r="M11" s="119" t="str">
        <f t="shared" si="28"/>
        <v>80</v>
      </c>
      <c r="N11" s="119" t="str">
        <f t="shared" si="29"/>
        <v>FF</v>
      </c>
      <c r="O11" s="120" t="str">
        <f t="shared" si="30"/>
        <v>FF</v>
      </c>
      <c r="P11" s="119">
        <f t="shared" si="31"/>
        <v>0</v>
      </c>
      <c r="Q11" s="119">
        <f t="shared" si="32"/>
        <v>128</v>
      </c>
      <c r="R11" s="120">
        <f t="shared" si="33"/>
        <v>255</v>
      </c>
      <c r="S11" s="121">
        <f t="shared" si="34"/>
        <v>0</v>
      </c>
      <c r="T11" s="121">
        <f t="shared" si="35"/>
        <v>128</v>
      </c>
      <c r="U11" s="121">
        <f t="shared" si="36"/>
        <v>255</v>
      </c>
      <c r="V11" s="522"/>
      <c r="W11" s="528"/>
    </row>
    <row r="12" spans="1:23" x14ac:dyDescent="0.35">
      <c r="A12" s="113" t="str">
        <f t="shared" si="19"/>
        <v xml:space="preserve">point = </v>
      </c>
      <c r="B12" s="58">
        <v>-2</v>
      </c>
      <c r="C12" s="95">
        <f>C11</f>
        <v>0</v>
      </c>
      <c r="D12" s="95">
        <f t="shared" ref="D12:E12" si="37">D11</f>
        <v>0.5</v>
      </c>
      <c r="E12" s="95">
        <f t="shared" si="37"/>
        <v>1</v>
      </c>
      <c r="F12" s="94">
        <f t="shared" si="21"/>
        <v>1</v>
      </c>
      <c r="G12" s="387" t="str">
        <f>G11</f>
        <v>; azure</v>
      </c>
      <c r="H12" s="114">
        <f t="shared" si="8"/>
        <v>0</v>
      </c>
      <c r="I12" s="114">
        <f t="shared" si="9"/>
        <v>128</v>
      </c>
      <c r="J12" s="114">
        <f t="shared" si="10"/>
        <v>255</v>
      </c>
      <c r="K12" s="115">
        <f t="shared" si="11"/>
        <v>255</v>
      </c>
      <c r="L12" s="114" t="str">
        <f t="shared" si="12"/>
        <v>00</v>
      </c>
      <c r="M12" s="114" t="str">
        <f t="shared" si="13"/>
        <v>80</v>
      </c>
      <c r="N12" s="114" t="str">
        <f t="shared" si="14"/>
        <v>FF</v>
      </c>
      <c r="O12" s="115" t="str">
        <f t="shared" si="15"/>
        <v>FF</v>
      </c>
      <c r="P12" s="114">
        <f t="shared" si="16"/>
        <v>0</v>
      </c>
      <c r="Q12" s="114">
        <f t="shared" si="17"/>
        <v>128</v>
      </c>
      <c r="R12" s="115">
        <f t="shared" si="18"/>
        <v>255</v>
      </c>
      <c r="S12" s="118">
        <f t="shared" si="4"/>
        <v>0</v>
      </c>
      <c r="T12" s="118">
        <f t="shared" si="5"/>
        <v>128</v>
      </c>
      <c r="U12" s="118">
        <f t="shared" si="6"/>
        <v>255</v>
      </c>
      <c r="V12" s="523"/>
      <c r="W12" s="528"/>
    </row>
    <row r="13" spans="1:23" x14ac:dyDescent="0.35">
      <c r="A13" s="113" t="str">
        <f t="shared" si="19"/>
        <v xml:space="preserve">point = </v>
      </c>
      <c r="B13" s="58">
        <v>-1</v>
      </c>
      <c r="C13" s="95">
        <v>0</v>
      </c>
      <c r="D13" s="95">
        <v>1</v>
      </c>
      <c r="E13" s="95">
        <v>1</v>
      </c>
      <c r="F13" s="94">
        <v>0</v>
      </c>
      <c r="G13" s="389" t="s">
        <v>116</v>
      </c>
      <c r="H13" s="114">
        <f t="shared" si="8"/>
        <v>0</v>
      </c>
      <c r="I13" s="114">
        <f t="shared" si="9"/>
        <v>255</v>
      </c>
      <c r="J13" s="114">
        <f t="shared" si="10"/>
        <v>255</v>
      </c>
      <c r="K13" s="115">
        <f t="shared" si="11"/>
        <v>0</v>
      </c>
      <c r="L13" s="114" t="str">
        <f t="shared" si="12"/>
        <v>00</v>
      </c>
      <c r="M13" s="114" t="str">
        <f t="shared" si="13"/>
        <v>FF</v>
      </c>
      <c r="N13" s="114" t="str">
        <f t="shared" si="14"/>
        <v>FF</v>
      </c>
      <c r="O13" s="115" t="str">
        <f t="shared" si="15"/>
        <v>00</v>
      </c>
      <c r="P13" s="116">
        <f t="shared" si="16"/>
        <v>0</v>
      </c>
      <c r="Q13" s="116">
        <f t="shared" si="17"/>
        <v>0</v>
      </c>
      <c r="R13" s="117">
        <f t="shared" si="18"/>
        <v>0</v>
      </c>
      <c r="S13" s="118">
        <f t="shared" si="4"/>
        <v>0</v>
      </c>
      <c r="T13" s="118">
        <f t="shared" si="5"/>
        <v>0</v>
      </c>
      <c r="U13" s="118">
        <f t="shared" si="6"/>
        <v>0</v>
      </c>
      <c r="V13" s="122"/>
      <c r="W13" s="123"/>
    </row>
    <row r="14" spans="1:23" x14ac:dyDescent="0.35">
      <c r="A14" s="113" t="str">
        <f t="shared" si="19"/>
        <v xml:space="preserve">point = </v>
      </c>
      <c r="B14" s="58">
        <v>0</v>
      </c>
      <c r="C14" s="95">
        <v>0</v>
      </c>
      <c r="D14" s="95">
        <v>1</v>
      </c>
      <c r="E14" s="95">
        <v>0.5</v>
      </c>
      <c r="F14" s="94">
        <f>F13</f>
        <v>0</v>
      </c>
      <c r="G14" s="389" t="s">
        <v>117</v>
      </c>
      <c r="H14" s="114">
        <f t="shared" si="8"/>
        <v>0</v>
      </c>
      <c r="I14" s="114">
        <f t="shared" si="9"/>
        <v>255</v>
      </c>
      <c r="J14" s="114">
        <f t="shared" si="10"/>
        <v>128</v>
      </c>
      <c r="K14" s="115">
        <f t="shared" si="11"/>
        <v>0</v>
      </c>
      <c r="L14" s="114" t="str">
        <f t="shared" si="12"/>
        <v>00</v>
      </c>
      <c r="M14" s="114" t="str">
        <f t="shared" si="13"/>
        <v>FF</v>
      </c>
      <c r="N14" s="114" t="str">
        <f t="shared" si="14"/>
        <v>80</v>
      </c>
      <c r="O14" s="115" t="str">
        <f t="shared" si="15"/>
        <v>00</v>
      </c>
      <c r="P14" s="116">
        <f t="shared" si="16"/>
        <v>0</v>
      </c>
      <c r="Q14" s="116">
        <f t="shared" si="17"/>
        <v>0</v>
      </c>
      <c r="R14" s="117">
        <f t="shared" si="18"/>
        <v>0</v>
      </c>
      <c r="S14" s="118">
        <f t="shared" si="4"/>
        <v>0</v>
      </c>
      <c r="T14" s="118">
        <f t="shared" si="5"/>
        <v>0</v>
      </c>
      <c r="U14" s="118">
        <f t="shared" si="6"/>
        <v>0</v>
      </c>
      <c r="V14" s="122"/>
      <c r="W14" s="123"/>
    </row>
    <row r="15" spans="1:23" x14ac:dyDescent="0.35">
      <c r="A15" s="113" t="str">
        <f t="shared" si="19"/>
        <v xml:space="preserve">point = </v>
      </c>
      <c r="B15" s="58">
        <v>1</v>
      </c>
      <c r="C15" s="95">
        <v>0</v>
      </c>
      <c r="D15" s="95">
        <v>1</v>
      </c>
      <c r="E15" s="95">
        <v>0</v>
      </c>
      <c r="F15" s="94">
        <v>1</v>
      </c>
      <c r="G15" s="389" t="s">
        <v>30</v>
      </c>
      <c r="H15" s="114">
        <f t="shared" si="8"/>
        <v>0</v>
      </c>
      <c r="I15" s="114">
        <f t="shared" si="9"/>
        <v>255</v>
      </c>
      <c r="J15" s="114">
        <f t="shared" si="10"/>
        <v>0</v>
      </c>
      <c r="K15" s="115">
        <f t="shared" si="11"/>
        <v>255</v>
      </c>
      <c r="L15" s="114" t="str">
        <f t="shared" si="12"/>
        <v>00</v>
      </c>
      <c r="M15" s="114" t="str">
        <f t="shared" si="13"/>
        <v>FF</v>
      </c>
      <c r="N15" s="114" t="str">
        <f t="shared" si="14"/>
        <v>00</v>
      </c>
      <c r="O15" s="115" t="str">
        <f t="shared" si="15"/>
        <v>FF</v>
      </c>
      <c r="P15" s="116">
        <f t="shared" si="16"/>
        <v>0</v>
      </c>
      <c r="Q15" s="116">
        <f t="shared" si="17"/>
        <v>255</v>
      </c>
      <c r="R15" s="117">
        <f t="shared" si="18"/>
        <v>0</v>
      </c>
      <c r="S15" s="118">
        <f t="shared" si="4"/>
        <v>0</v>
      </c>
      <c r="T15" s="118">
        <f t="shared" si="5"/>
        <v>255</v>
      </c>
      <c r="U15" s="118">
        <f t="shared" si="6"/>
        <v>0</v>
      </c>
      <c r="V15" s="124"/>
      <c r="W15" s="125"/>
    </row>
    <row r="16" spans="1:23" x14ac:dyDescent="0.35">
      <c r="A16" s="113" t="str">
        <f t="shared" si="19"/>
        <v xml:space="preserve">point = </v>
      </c>
      <c r="B16" s="58">
        <v>2</v>
      </c>
      <c r="C16" s="95">
        <f>C15</f>
        <v>0</v>
      </c>
      <c r="D16" s="95">
        <f t="shared" ref="D16" si="38">D15</f>
        <v>1</v>
      </c>
      <c r="E16" s="95">
        <f>E15</f>
        <v>0</v>
      </c>
      <c r="F16" s="94">
        <f>F15</f>
        <v>1</v>
      </c>
      <c r="G16" s="387" t="str">
        <f>G15</f>
        <v>; green</v>
      </c>
      <c r="H16" s="114">
        <f t="shared" ref="H16:H17" si="39">ROUND(C16*255,0)</f>
        <v>0</v>
      </c>
      <c r="I16" s="114">
        <f t="shared" ref="I16:I17" si="40">ROUND(D16*255,0)</f>
        <v>255</v>
      </c>
      <c r="J16" s="114">
        <f t="shared" ref="J16:J17" si="41">ROUND(E16*255,0)</f>
        <v>0</v>
      </c>
      <c r="K16" s="115">
        <f t="shared" ref="K16:K17" si="42">ROUND(F16*255,0)</f>
        <v>255</v>
      </c>
      <c r="L16" s="114" t="str">
        <f t="shared" ref="L16:L17" si="43">DEC2HEX(H16,2)</f>
        <v>00</v>
      </c>
      <c r="M16" s="114" t="str">
        <f t="shared" ref="M16:M17" si="44">DEC2HEX(I16,2)</f>
        <v>FF</v>
      </c>
      <c r="N16" s="114" t="str">
        <f t="shared" ref="N16:N17" si="45">DEC2HEX(J16,2)</f>
        <v>00</v>
      </c>
      <c r="O16" s="115" t="str">
        <f t="shared" ref="O16:O17" si="46">DEC2HEX(K16,2)</f>
        <v>FF</v>
      </c>
      <c r="P16" s="116">
        <f t="shared" ref="P16:P17" si="47">ROUND((C16*$F16+P$1/255*(1-$F16))*255,0)</f>
        <v>0</v>
      </c>
      <c r="Q16" s="116">
        <f t="shared" ref="Q16:Q17" si="48">ROUND((D16*$F16+Q$1/255*(1-$F16))*255,0)</f>
        <v>255</v>
      </c>
      <c r="R16" s="117">
        <f t="shared" ref="R16:R17" si="49">ROUND((E16*$F16+R$1/255*(1-$F16))*255,0)</f>
        <v>0</v>
      </c>
      <c r="S16" s="118">
        <f t="shared" ref="S16:S17" si="50">ROUND((C16^gamma*$F16+(S$1/255)^gamma*(1-$F16))^(1/gamma)*255,0)</f>
        <v>0</v>
      </c>
      <c r="T16" s="118">
        <f t="shared" ref="T16:T17" si="51">ROUND((D16^gamma*$F16+(T$1/255)^gamma*(1-$F16))^(1/gamma)*255,0)</f>
        <v>255</v>
      </c>
      <c r="U16" s="118">
        <f t="shared" ref="U16:U17" si="52">ROUND((E16^gamma*$F16+(U$1/255)^gamma*(1-$F16))^(1/gamma)*255,0)</f>
        <v>0</v>
      </c>
      <c r="V16" s="124"/>
      <c r="W16" s="125"/>
    </row>
    <row r="17" spans="1:23" x14ac:dyDescent="0.35">
      <c r="A17" s="113" t="str">
        <f t="shared" si="19"/>
        <v xml:space="preserve">point = </v>
      </c>
      <c r="B17" s="58">
        <f>B16</f>
        <v>2</v>
      </c>
      <c r="C17" s="95">
        <v>0.5</v>
      </c>
      <c r="D17" s="95">
        <v>1</v>
      </c>
      <c r="E17" s="95">
        <v>0</v>
      </c>
      <c r="F17" s="94">
        <f t="shared" ref="F17:F24" si="53">F16</f>
        <v>1</v>
      </c>
      <c r="G17" s="389" t="s">
        <v>82</v>
      </c>
      <c r="H17" s="114">
        <f t="shared" si="39"/>
        <v>128</v>
      </c>
      <c r="I17" s="114">
        <f t="shared" si="40"/>
        <v>255</v>
      </c>
      <c r="J17" s="114">
        <f t="shared" si="41"/>
        <v>0</v>
      </c>
      <c r="K17" s="115">
        <f t="shared" si="42"/>
        <v>255</v>
      </c>
      <c r="L17" s="114" t="str">
        <f t="shared" si="43"/>
        <v>80</v>
      </c>
      <c r="M17" s="114" t="str">
        <f t="shared" si="44"/>
        <v>FF</v>
      </c>
      <c r="N17" s="114" t="str">
        <f t="shared" si="45"/>
        <v>00</v>
      </c>
      <c r="O17" s="115" t="str">
        <f t="shared" si="46"/>
        <v>FF</v>
      </c>
      <c r="P17" s="116">
        <f t="shared" si="47"/>
        <v>128</v>
      </c>
      <c r="Q17" s="116">
        <f t="shared" si="48"/>
        <v>255</v>
      </c>
      <c r="R17" s="117">
        <f t="shared" si="49"/>
        <v>0</v>
      </c>
      <c r="S17" s="118">
        <f t="shared" si="50"/>
        <v>128</v>
      </c>
      <c r="T17" s="118">
        <f t="shared" si="51"/>
        <v>255</v>
      </c>
      <c r="U17" s="118">
        <f t="shared" si="52"/>
        <v>0</v>
      </c>
      <c r="V17" s="391"/>
      <c r="W17" s="392"/>
    </row>
    <row r="18" spans="1:23" x14ac:dyDescent="0.35">
      <c r="A18" s="113" t="str">
        <f t="shared" si="19"/>
        <v xml:space="preserve">point = </v>
      </c>
      <c r="B18" s="58">
        <v>3</v>
      </c>
      <c r="C18" s="95">
        <f>C17</f>
        <v>0.5</v>
      </c>
      <c r="D18" s="95">
        <f t="shared" ref="D18:E18" si="54">D17</f>
        <v>1</v>
      </c>
      <c r="E18" s="95">
        <f t="shared" si="54"/>
        <v>0</v>
      </c>
      <c r="F18" s="94">
        <f t="shared" si="53"/>
        <v>1</v>
      </c>
      <c r="G18" s="387" t="str">
        <f>G17</f>
        <v>; chartreuse</v>
      </c>
      <c r="H18" s="114">
        <f t="shared" si="8"/>
        <v>128</v>
      </c>
      <c r="I18" s="114">
        <f t="shared" si="9"/>
        <v>255</v>
      </c>
      <c r="J18" s="114">
        <f t="shared" si="10"/>
        <v>0</v>
      </c>
      <c r="K18" s="115">
        <f t="shared" si="11"/>
        <v>255</v>
      </c>
      <c r="L18" s="114" t="str">
        <f t="shared" si="12"/>
        <v>80</v>
      </c>
      <c r="M18" s="114" t="str">
        <f t="shared" si="13"/>
        <v>FF</v>
      </c>
      <c r="N18" s="114" t="str">
        <f t="shared" si="14"/>
        <v>00</v>
      </c>
      <c r="O18" s="115" t="str">
        <f t="shared" si="15"/>
        <v>FF</v>
      </c>
      <c r="P18" s="116">
        <f t="shared" si="16"/>
        <v>128</v>
      </c>
      <c r="Q18" s="116">
        <f t="shared" si="17"/>
        <v>255</v>
      </c>
      <c r="R18" s="117">
        <f t="shared" si="18"/>
        <v>0</v>
      </c>
      <c r="S18" s="118">
        <f t="shared" si="4"/>
        <v>128</v>
      </c>
      <c r="T18" s="118">
        <f t="shared" si="5"/>
        <v>255</v>
      </c>
      <c r="U18" s="118">
        <f t="shared" si="6"/>
        <v>0</v>
      </c>
      <c r="V18" s="391"/>
      <c r="W18" s="392"/>
    </row>
    <row r="19" spans="1:23" x14ac:dyDescent="0.35">
      <c r="A19" s="113" t="str">
        <f t="shared" si="19"/>
        <v xml:space="preserve">point = </v>
      </c>
      <c r="B19" s="58">
        <f>B18</f>
        <v>3</v>
      </c>
      <c r="C19" s="95">
        <v>1</v>
      </c>
      <c r="D19" s="95">
        <v>1</v>
      </c>
      <c r="E19" s="95">
        <v>0</v>
      </c>
      <c r="F19" s="94">
        <f t="shared" si="53"/>
        <v>1</v>
      </c>
      <c r="G19" s="389" t="s">
        <v>31</v>
      </c>
      <c r="H19" s="114">
        <f t="shared" si="8"/>
        <v>255</v>
      </c>
      <c r="I19" s="114">
        <f t="shared" si="9"/>
        <v>255</v>
      </c>
      <c r="J19" s="114">
        <f t="shared" si="10"/>
        <v>0</v>
      </c>
      <c r="K19" s="115">
        <f t="shared" si="11"/>
        <v>255</v>
      </c>
      <c r="L19" s="114" t="str">
        <f t="shared" si="12"/>
        <v>FF</v>
      </c>
      <c r="M19" s="114" t="str">
        <f t="shared" si="13"/>
        <v>FF</v>
      </c>
      <c r="N19" s="114" t="str">
        <f t="shared" si="14"/>
        <v>00</v>
      </c>
      <c r="O19" s="115" t="str">
        <f t="shared" si="15"/>
        <v>FF</v>
      </c>
      <c r="P19" s="116">
        <f t="shared" si="16"/>
        <v>255</v>
      </c>
      <c r="Q19" s="116">
        <f t="shared" si="17"/>
        <v>255</v>
      </c>
      <c r="R19" s="117">
        <f t="shared" si="18"/>
        <v>0</v>
      </c>
      <c r="S19" s="118">
        <f t="shared" si="4"/>
        <v>255</v>
      </c>
      <c r="T19" s="118">
        <f t="shared" si="5"/>
        <v>255</v>
      </c>
      <c r="U19" s="118">
        <f t="shared" si="6"/>
        <v>0</v>
      </c>
      <c r="V19" s="126"/>
      <c r="W19" s="127"/>
    </row>
    <row r="20" spans="1:23" x14ac:dyDescent="0.35">
      <c r="A20" s="113" t="str">
        <f t="shared" si="19"/>
        <v xml:space="preserve">point = </v>
      </c>
      <c r="B20" s="58">
        <v>4</v>
      </c>
      <c r="C20" s="95">
        <f>C19</f>
        <v>1</v>
      </c>
      <c r="D20" s="95">
        <f t="shared" ref="D20:E20" si="55">D19</f>
        <v>1</v>
      </c>
      <c r="E20" s="95">
        <f t="shared" si="55"/>
        <v>0</v>
      </c>
      <c r="F20" s="94">
        <f t="shared" si="53"/>
        <v>1</v>
      </c>
      <c r="G20" s="387" t="s">
        <v>31</v>
      </c>
      <c r="H20" s="114">
        <f t="shared" si="8"/>
        <v>255</v>
      </c>
      <c r="I20" s="114">
        <f t="shared" si="9"/>
        <v>255</v>
      </c>
      <c r="J20" s="114">
        <f t="shared" si="10"/>
        <v>0</v>
      </c>
      <c r="K20" s="115">
        <f t="shared" si="11"/>
        <v>255</v>
      </c>
      <c r="L20" s="114" t="str">
        <f t="shared" si="12"/>
        <v>FF</v>
      </c>
      <c r="M20" s="114" t="str">
        <f t="shared" si="13"/>
        <v>FF</v>
      </c>
      <c r="N20" s="114" t="str">
        <f t="shared" si="14"/>
        <v>00</v>
      </c>
      <c r="O20" s="115" t="str">
        <f t="shared" si="15"/>
        <v>FF</v>
      </c>
      <c r="P20" s="116">
        <f t="shared" si="16"/>
        <v>255</v>
      </c>
      <c r="Q20" s="116">
        <f t="shared" si="17"/>
        <v>255</v>
      </c>
      <c r="R20" s="117">
        <f t="shared" si="18"/>
        <v>0</v>
      </c>
      <c r="S20" s="118">
        <f t="shared" si="4"/>
        <v>255</v>
      </c>
      <c r="T20" s="118">
        <f t="shared" si="5"/>
        <v>255</v>
      </c>
      <c r="U20" s="118">
        <f t="shared" si="6"/>
        <v>0</v>
      </c>
      <c r="V20" s="126"/>
      <c r="W20" s="127"/>
    </row>
    <row r="21" spans="1:23" x14ac:dyDescent="0.35">
      <c r="A21" s="113" t="str">
        <f t="shared" si="19"/>
        <v xml:space="preserve">point = </v>
      </c>
      <c r="B21" s="58">
        <f>B20</f>
        <v>4</v>
      </c>
      <c r="C21" s="95">
        <v>1</v>
      </c>
      <c r="D21" s="95">
        <v>0.5</v>
      </c>
      <c r="E21" s="95">
        <v>0</v>
      </c>
      <c r="F21" s="94">
        <f t="shared" si="53"/>
        <v>1</v>
      </c>
      <c r="G21" s="389" t="s">
        <v>32</v>
      </c>
      <c r="H21" s="114">
        <f t="shared" si="8"/>
        <v>255</v>
      </c>
      <c r="I21" s="114">
        <f t="shared" si="9"/>
        <v>128</v>
      </c>
      <c r="J21" s="114">
        <f t="shared" si="10"/>
        <v>0</v>
      </c>
      <c r="K21" s="115">
        <f t="shared" si="11"/>
        <v>255</v>
      </c>
      <c r="L21" s="114" t="str">
        <f t="shared" si="12"/>
        <v>FF</v>
      </c>
      <c r="M21" s="114" t="str">
        <f t="shared" si="13"/>
        <v>80</v>
      </c>
      <c r="N21" s="114" t="str">
        <f t="shared" si="14"/>
        <v>00</v>
      </c>
      <c r="O21" s="115" t="str">
        <f t="shared" si="15"/>
        <v>FF</v>
      </c>
      <c r="P21" s="116">
        <f t="shared" si="16"/>
        <v>255</v>
      </c>
      <c r="Q21" s="116">
        <f t="shared" si="17"/>
        <v>128</v>
      </c>
      <c r="R21" s="117">
        <f t="shared" si="18"/>
        <v>0</v>
      </c>
      <c r="S21" s="118">
        <f t="shared" si="4"/>
        <v>255</v>
      </c>
      <c r="T21" s="118">
        <f t="shared" si="5"/>
        <v>128</v>
      </c>
      <c r="U21" s="118">
        <f t="shared" si="6"/>
        <v>0</v>
      </c>
      <c r="V21" s="128"/>
      <c r="W21" s="129"/>
    </row>
    <row r="22" spans="1:23" x14ac:dyDescent="0.35">
      <c r="A22" s="113" t="str">
        <f t="shared" si="19"/>
        <v xml:space="preserve">point = </v>
      </c>
      <c r="B22" s="58">
        <v>5</v>
      </c>
      <c r="C22" s="95">
        <f>C21</f>
        <v>1</v>
      </c>
      <c r="D22" s="95">
        <f t="shared" ref="D22:E22" si="56">D21</f>
        <v>0.5</v>
      </c>
      <c r="E22" s="95">
        <f t="shared" si="56"/>
        <v>0</v>
      </c>
      <c r="F22" s="94">
        <f t="shared" si="53"/>
        <v>1</v>
      </c>
      <c r="G22" s="387" t="s">
        <v>32</v>
      </c>
      <c r="H22" s="114">
        <f t="shared" si="8"/>
        <v>255</v>
      </c>
      <c r="I22" s="114">
        <f t="shared" si="9"/>
        <v>128</v>
      </c>
      <c r="J22" s="114">
        <f t="shared" si="10"/>
        <v>0</v>
      </c>
      <c r="K22" s="115">
        <f t="shared" si="11"/>
        <v>255</v>
      </c>
      <c r="L22" s="114" t="str">
        <f t="shared" si="12"/>
        <v>FF</v>
      </c>
      <c r="M22" s="114" t="str">
        <f t="shared" si="13"/>
        <v>80</v>
      </c>
      <c r="N22" s="114" t="str">
        <f t="shared" si="14"/>
        <v>00</v>
      </c>
      <c r="O22" s="115" t="str">
        <f t="shared" si="15"/>
        <v>FF</v>
      </c>
      <c r="P22" s="116">
        <f t="shared" si="16"/>
        <v>255</v>
      </c>
      <c r="Q22" s="116">
        <f t="shared" si="17"/>
        <v>128</v>
      </c>
      <c r="R22" s="117">
        <f t="shared" si="18"/>
        <v>0</v>
      </c>
      <c r="S22" s="118">
        <f t="shared" si="4"/>
        <v>255</v>
      </c>
      <c r="T22" s="118">
        <f t="shared" si="5"/>
        <v>128</v>
      </c>
      <c r="U22" s="118">
        <f t="shared" si="6"/>
        <v>0</v>
      </c>
      <c r="V22" s="128"/>
      <c r="W22" s="129"/>
    </row>
    <row r="23" spans="1:23" x14ac:dyDescent="0.35">
      <c r="A23" s="113" t="str">
        <f t="shared" si="19"/>
        <v xml:space="preserve">point = </v>
      </c>
      <c r="B23" s="58">
        <f>B22</f>
        <v>5</v>
      </c>
      <c r="C23" s="95">
        <v>1</v>
      </c>
      <c r="D23" s="95">
        <v>0</v>
      </c>
      <c r="E23" s="95">
        <v>0</v>
      </c>
      <c r="F23" s="94">
        <f t="shared" si="53"/>
        <v>1</v>
      </c>
      <c r="G23" s="389" t="s">
        <v>33</v>
      </c>
      <c r="H23" s="114">
        <f t="shared" si="8"/>
        <v>255</v>
      </c>
      <c r="I23" s="114">
        <f t="shared" si="9"/>
        <v>0</v>
      </c>
      <c r="J23" s="114">
        <f t="shared" si="10"/>
        <v>0</v>
      </c>
      <c r="K23" s="115">
        <f t="shared" si="11"/>
        <v>255</v>
      </c>
      <c r="L23" s="119" t="str">
        <f t="shared" si="12"/>
        <v>FF</v>
      </c>
      <c r="M23" s="119" t="str">
        <f t="shared" si="13"/>
        <v>00</v>
      </c>
      <c r="N23" s="119" t="str">
        <f t="shared" si="14"/>
        <v>00</v>
      </c>
      <c r="O23" s="115" t="str">
        <f t="shared" si="15"/>
        <v>FF</v>
      </c>
      <c r="P23" s="119">
        <f t="shared" si="16"/>
        <v>255</v>
      </c>
      <c r="Q23" s="119">
        <f t="shared" si="17"/>
        <v>0</v>
      </c>
      <c r="R23" s="120">
        <f t="shared" si="18"/>
        <v>0</v>
      </c>
      <c r="S23" s="121">
        <f t="shared" si="4"/>
        <v>255</v>
      </c>
      <c r="T23" s="121">
        <f t="shared" si="5"/>
        <v>0</v>
      </c>
      <c r="U23" s="121">
        <f t="shared" si="6"/>
        <v>0</v>
      </c>
      <c r="V23" s="130"/>
      <c r="W23" s="69"/>
    </row>
    <row r="24" spans="1:23" x14ac:dyDescent="0.35">
      <c r="A24" s="131" t="str">
        <f t="shared" si="19"/>
        <v xml:space="preserve">point = </v>
      </c>
      <c r="B24" s="63">
        <v>10</v>
      </c>
      <c r="C24" s="138">
        <f>C23</f>
        <v>1</v>
      </c>
      <c r="D24" s="138">
        <f t="shared" ref="D24:E24" si="57">D23</f>
        <v>0</v>
      </c>
      <c r="E24" s="138">
        <f t="shared" si="57"/>
        <v>0</v>
      </c>
      <c r="F24" s="139">
        <f t="shared" si="53"/>
        <v>1</v>
      </c>
      <c r="G24" s="388" t="s">
        <v>33</v>
      </c>
      <c r="H24" s="132">
        <f t="shared" si="8"/>
        <v>255</v>
      </c>
      <c r="I24" s="132">
        <f t="shared" si="9"/>
        <v>0</v>
      </c>
      <c r="J24" s="132">
        <f t="shared" si="10"/>
        <v>0</v>
      </c>
      <c r="K24" s="133">
        <f t="shared" si="11"/>
        <v>255</v>
      </c>
      <c r="L24" s="132" t="str">
        <f t="shared" si="12"/>
        <v>FF</v>
      </c>
      <c r="M24" s="132" t="str">
        <f t="shared" si="13"/>
        <v>00</v>
      </c>
      <c r="N24" s="132" t="str">
        <f t="shared" si="14"/>
        <v>00</v>
      </c>
      <c r="O24" s="133" t="str">
        <f t="shared" si="15"/>
        <v>FF</v>
      </c>
      <c r="P24" s="132">
        <f t="shared" si="16"/>
        <v>255</v>
      </c>
      <c r="Q24" s="132">
        <f t="shared" si="17"/>
        <v>0</v>
      </c>
      <c r="R24" s="133">
        <f t="shared" si="18"/>
        <v>0</v>
      </c>
      <c r="S24" s="134">
        <f t="shared" si="4"/>
        <v>255</v>
      </c>
      <c r="T24" s="134">
        <f t="shared" si="5"/>
        <v>0</v>
      </c>
      <c r="U24" s="134">
        <f t="shared" si="6"/>
        <v>0</v>
      </c>
      <c r="V24" s="135"/>
      <c r="W24" s="136"/>
    </row>
  </sheetData>
  <sheetProtection sheet="1" objects="1" scenarios="1" formatCells="0"/>
  <mergeCells count="6">
    <mergeCell ref="A1:O1"/>
    <mergeCell ref="P2:U2"/>
    <mergeCell ref="V2:W2"/>
    <mergeCell ref="P3:R3"/>
    <mergeCell ref="S3:U3"/>
    <mergeCell ref="B2:O3"/>
  </mergeCells>
  <hyperlinks>
    <hyperlink ref="A1" r:id="rId1" xr:uid="{00000000-0004-0000-0000-000000000000}"/>
    <hyperlink ref="G7" r:id="rId2" display="; 50% violet" xr:uid="{00000000-0004-0000-0000-000001000000}"/>
    <hyperlink ref="G5" r:id="rId3" xr:uid="{00000000-0004-0000-0000-000002000000}"/>
    <hyperlink ref="G9" r:id="rId4" xr:uid="{00000000-0004-0000-0000-000003000000}"/>
    <hyperlink ref="G11" r:id="rId5" xr:uid="{00000000-0004-0000-0000-000004000000}"/>
    <hyperlink ref="G13" r:id="rId6" display="; cyan" xr:uid="{00000000-0004-0000-0000-000005000000}"/>
    <hyperlink ref="G14" r:id="rId7" display="; spring green" xr:uid="{00000000-0004-0000-0000-000006000000}"/>
    <hyperlink ref="G15" r:id="rId8" xr:uid="{00000000-0004-0000-0000-000007000000}"/>
    <hyperlink ref="G17" r:id="rId9" xr:uid="{00000000-0004-0000-0000-000008000000}"/>
    <hyperlink ref="G19" r:id="rId10" xr:uid="{00000000-0004-0000-0000-000009000000}"/>
    <hyperlink ref="G21" r:id="rId11" xr:uid="{00000000-0004-0000-0000-00000A000000}"/>
    <hyperlink ref="G23" r:id="rId12" xr:uid="{00000000-0004-0000-0000-00000B000000}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3"/>
  <headerFooter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24"/>
  <sheetViews>
    <sheetView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5" x14ac:dyDescent="0.35"/>
  <cols>
    <col min="1" max="1" width="7.7265625" customWidth="1"/>
    <col min="2" max="6" width="6.7265625" customWidth="1"/>
    <col min="7" max="7" width="17.7265625" customWidth="1"/>
    <col min="8" max="21" width="4.7265625" customWidth="1"/>
    <col min="22" max="23" width="8.7265625" customWidth="1"/>
  </cols>
  <sheetData>
    <row r="1" spans="1:23" x14ac:dyDescent="0.35">
      <c r="A1" s="468" t="s">
        <v>81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35">
      <c r="A2" s="101" t="s">
        <v>20</v>
      </c>
      <c r="B2" s="481" t="s">
        <v>36</v>
      </c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3"/>
      <c r="P2" s="470" t="s">
        <v>24</v>
      </c>
      <c r="Q2" s="471"/>
      <c r="R2" s="471"/>
      <c r="S2" s="471"/>
      <c r="T2" s="471"/>
      <c r="U2" s="472"/>
      <c r="V2" s="473" t="s">
        <v>21</v>
      </c>
      <c r="W2" s="474"/>
    </row>
    <row r="3" spans="1:23" x14ac:dyDescent="0.35">
      <c r="A3" s="57">
        <v>2.2000000000000002</v>
      </c>
      <c r="B3" s="484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6"/>
      <c r="P3" s="475" t="s">
        <v>18</v>
      </c>
      <c r="Q3" s="476"/>
      <c r="R3" s="477"/>
      <c r="S3" s="478" t="str">
        <f>"γ = "&amp;gamma</f>
        <v>γ = 2.2</v>
      </c>
      <c r="T3" s="479"/>
      <c r="U3" s="480"/>
      <c r="V3" s="102" t="str">
        <f>P3</f>
        <v>γ = 1</v>
      </c>
      <c r="W3" s="103" t="str">
        <f>S3</f>
        <v>γ = 2.2</v>
      </c>
    </row>
    <row r="4" spans="1:23" x14ac:dyDescent="0.35">
      <c r="A4" s="104" t="s">
        <v>29</v>
      </c>
      <c r="B4" s="97" t="s">
        <v>35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35">
      <c r="A5" s="107" t="s">
        <v>28</v>
      </c>
      <c r="B5" s="137">
        <v>0</v>
      </c>
      <c r="C5" s="92">
        <v>1</v>
      </c>
      <c r="D5" s="92">
        <v>0</v>
      </c>
      <c r="E5" s="92">
        <v>0</v>
      </c>
      <c r="F5" s="93">
        <v>1</v>
      </c>
      <c r="G5" s="389" t="s">
        <v>33</v>
      </c>
      <c r="H5" s="108">
        <f>ROUND(C5*255,0)</f>
        <v>255</v>
      </c>
      <c r="I5" s="108">
        <f>ROUND(D5*255,0)</f>
        <v>0</v>
      </c>
      <c r="J5" s="108">
        <f>ROUND(E5*255,0)</f>
        <v>0</v>
      </c>
      <c r="K5" s="109">
        <f>ROUND(F5*255,0)</f>
        <v>255</v>
      </c>
      <c r="L5" s="108" t="str">
        <f>DEC2HEX(H5,2)</f>
        <v>FF</v>
      </c>
      <c r="M5" s="108" t="str">
        <f t="shared" ref="M5:O11" si="3">DEC2HEX(I5,2)</f>
        <v>00</v>
      </c>
      <c r="N5" s="108" t="str">
        <f t="shared" si="3"/>
        <v>00</v>
      </c>
      <c r="O5" s="109" t="str">
        <f t="shared" si="3"/>
        <v>FF</v>
      </c>
      <c r="P5" s="110">
        <f>ROUND((C5*$F5+P$1/255*(1-$F5))*255,0)</f>
        <v>255</v>
      </c>
      <c r="Q5" s="110">
        <f>ROUND((D5*$F5+Q$1/255*(1-$F5))*255,0)</f>
        <v>0</v>
      </c>
      <c r="R5" s="111">
        <f>ROUND((E5*$F5+R$1/255*(1-$F5))*255,0)</f>
        <v>0</v>
      </c>
      <c r="S5" s="112">
        <f t="shared" ref="S5:S11" si="4">ROUND((C5^gamma*$F5+(S$1/255)^gamma*(1-$F5))^(1/gamma)*255,0)</f>
        <v>255</v>
      </c>
      <c r="T5" s="112">
        <f t="shared" ref="T5:T11" si="5">ROUND((D5^gamma*$F5+(T$1/255)^gamma*(1-$F5))^(1/gamma)*255,0)</f>
        <v>0</v>
      </c>
      <c r="U5" s="112">
        <f t="shared" ref="U5:U11" si="6">ROUND((E5^gamma*$F5+(U$1/255)^gamma*(1-$F5))^(1/gamma)*255,0)</f>
        <v>0</v>
      </c>
      <c r="V5" s="140"/>
      <c r="W5" s="145"/>
    </row>
    <row r="6" spans="1:23" x14ac:dyDescent="0.35">
      <c r="A6" s="113" t="str">
        <f>A5</f>
        <v xml:space="preserve">point = </v>
      </c>
      <c r="B6" s="58">
        <v>100</v>
      </c>
      <c r="C6" s="95">
        <f>C5</f>
        <v>1</v>
      </c>
      <c r="D6" s="95">
        <f t="shared" ref="D6:F6" si="7">D5</f>
        <v>0</v>
      </c>
      <c r="E6" s="95">
        <f t="shared" si="7"/>
        <v>0</v>
      </c>
      <c r="F6" s="94">
        <f t="shared" si="7"/>
        <v>1</v>
      </c>
      <c r="G6" s="387" t="str">
        <f>G5</f>
        <v>; red</v>
      </c>
      <c r="H6" s="114">
        <f t="shared" ref="H6:K11" si="8">ROUND(C6*255,0)</f>
        <v>255</v>
      </c>
      <c r="I6" s="114">
        <f t="shared" si="8"/>
        <v>0</v>
      </c>
      <c r="J6" s="114">
        <f t="shared" si="8"/>
        <v>0</v>
      </c>
      <c r="K6" s="115">
        <f t="shared" si="8"/>
        <v>255</v>
      </c>
      <c r="L6" s="114" t="str">
        <f t="shared" ref="L6:L11" si="9">DEC2HEX(H6,2)</f>
        <v>FF</v>
      </c>
      <c r="M6" s="114" t="str">
        <f t="shared" si="3"/>
        <v>00</v>
      </c>
      <c r="N6" s="114" t="str">
        <f t="shared" si="3"/>
        <v>00</v>
      </c>
      <c r="O6" s="115" t="str">
        <f t="shared" si="3"/>
        <v>FF</v>
      </c>
      <c r="P6" s="116">
        <f t="shared" ref="P6:R11" si="10">ROUND((C6*$F6+P$1/255*(1-$F6))*255,0)</f>
        <v>255</v>
      </c>
      <c r="Q6" s="116">
        <f t="shared" si="10"/>
        <v>0</v>
      </c>
      <c r="R6" s="117">
        <f t="shared" si="10"/>
        <v>0</v>
      </c>
      <c r="S6" s="118">
        <f t="shared" si="4"/>
        <v>255</v>
      </c>
      <c r="T6" s="118">
        <f t="shared" si="5"/>
        <v>0</v>
      </c>
      <c r="U6" s="118">
        <f t="shared" si="6"/>
        <v>0</v>
      </c>
      <c r="V6" s="141"/>
      <c r="W6" s="69"/>
    </row>
    <row r="7" spans="1:23" x14ac:dyDescent="0.35">
      <c r="A7" s="113" t="str">
        <f t="shared" ref="A7:A24" si="11">A6</f>
        <v xml:space="preserve">point = </v>
      </c>
      <c r="B7" s="58">
        <f>B6</f>
        <v>100</v>
      </c>
      <c r="C7" s="95">
        <v>1</v>
      </c>
      <c r="D7" s="95">
        <v>0.5</v>
      </c>
      <c r="E7" s="95">
        <v>0</v>
      </c>
      <c r="F7" s="94">
        <f t="shared" ref="F7:F24" si="12">F6</f>
        <v>1</v>
      </c>
      <c r="G7" s="389" t="s">
        <v>32</v>
      </c>
      <c r="H7" s="114">
        <f t="shared" si="8"/>
        <v>255</v>
      </c>
      <c r="I7" s="114">
        <f t="shared" si="8"/>
        <v>128</v>
      </c>
      <c r="J7" s="114">
        <f t="shared" si="8"/>
        <v>0</v>
      </c>
      <c r="K7" s="115">
        <f t="shared" si="8"/>
        <v>255</v>
      </c>
      <c r="L7" s="114" t="str">
        <f t="shared" si="9"/>
        <v>FF</v>
      </c>
      <c r="M7" s="114" t="str">
        <f t="shared" si="3"/>
        <v>80</v>
      </c>
      <c r="N7" s="114" t="str">
        <f t="shared" si="3"/>
        <v>00</v>
      </c>
      <c r="O7" s="115" t="str">
        <f t="shared" si="3"/>
        <v>FF</v>
      </c>
      <c r="P7" s="116">
        <f t="shared" si="10"/>
        <v>255</v>
      </c>
      <c r="Q7" s="116">
        <f t="shared" si="10"/>
        <v>128</v>
      </c>
      <c r="R7" s="117">
        <f t="shared" si="10"/>
        <v>0</v>
      </c>
      <c r="S7" s="118">
        <f t="shared" si="4"/>
        <v>255</v>
      </c>
      <c r="T7" s="118">
        <f t="shared" si="5"/>
        <v>128</v>
      </c>
      <c r="U7" s="118">
        <f t="shared" si="6"/>
        <v>0</v>
      </c>
      <c r="V7" s="128"/>
      <c r="W7" s="129"/>
    </row>
    <row r="8" spans="1:23" x14ac:dyDescent="0.35">
      <c r="A8" s="113" t="str">
        <f t="shared" si="11"/>
        <v xml:space="preserve">point = </v>
      </c>
      <c r="B8" s="58">
        <v>200</v>
      </c>
      <c r="C8" s="95">
        <f t="shared" ref="C8:E8" si="13">C7</f>
        <v>1</v>
      </c>
      <c r="D8" s="95">
        <f t="shared" si="13"/>
        <v>0.5</v>
      </c>
      <c r="E8" s="95">
        <f t="shared" si="13"/>
        <v>0</v>
      </c>
      <c r="F8" s="94">
        <f t="shared" si="12"/>
        <v>1</v>
      </c>
      <c r="G8" s="387" t="str">
        <f>G7</f>
        <v>; orange</v>
      </c>
      <c r="H8" s="114">
        <f t="shared" si="8"/>
        <v>255</v>
      </c>
      <c r="I8" s="114">
        <f t="shared" si="8"/>
        <v>128</v>
      </c>
      <c r="J8" s="114">
        <f t="shared" si="8"/>
        <v>0</v>
      </c>
      <c r="K8" s="115">
        <f t="shared" si="8"/>
        <v>255</v>
      </c>
      <c r="L8" s="114" t="str">
        <f t="shared" si="9"/>
        <v>FF</v>
      </c>
      <c r="M8" s="114" t="str">
        <f t="shared" si="3"/>
        <v>80</v>
      </c>
      <c r="N8" s="114" t="str">
        <f t="shared" si="3"/>
        <v>00</v>
      </c>
      <c r="O8" s="115" t="str">
        <f t="shared" si="3"/>
        <v>FF</v>
      </c>
      <c r="P8" s="116">
        <f t="shared" si="10"/>
        <v>255</v>
      </c>
      <c r="Q8" s="116">
        <f t="shared" si="10"/>
        <v>128</v>
      </c>
      <c r="R8" s="117">
        <f t="shared" si="10"/>
        <v>0</v>
      </c>
      <c r="S8" s="118">
        <f t="shared" si="4"/>
        <v>255</v>
      </c>
      <c r="T8" s="118">
        <f t="shared" si="5"/>
        <v>128</v>
      </c>
      <c r="U8" s="118">
        <f t="shared" si="6"/>
        <v>0</v>
      </c>
      <c r="V8" s="128"/>
      <c r="W8" s="129"/>
    </row>
    <row r="9" spans="1:23" x14ac:dyDescent="0.35">
      <c r="A9" s="113" t="str">
        <f t="shared" si="11"/>
        <v xml:space="preserve">point = </v>
      </c>
      <c r="B9" s="58">
        <f>B8</f>
        <v>200</v>
      </c>
      <c r="C9" s="95">
        <v>1</v>
      </c>
      <c r="D9" s="95">
        <v>1</v>
      </c>
      <c r="E9" s="95">
        <v>0</v>
      </c>
      <c r="F9" s="94">
        <f t="shared" si="12"/>
        <v>1</v>
      </c>
      <c r="G9" s="389" t="s">
        <v>31</v>
      </c>
      <c r="H9" s="114">
        <f t="shared" si="8"/>
        <v>255</v>
      </c>
      <c r="I9" s="114">
        <f t="shared" si="8"/>
        <v>255</v>
      </c>
      <c r="J9" s="114">
        <f t="shared" si="8"/>
        <v>0</v>
      </c>
      <c r="K9" s="115">
        <f t="shared" si="8"/>
        <v>255</v>
      </c>
      <c r="L9" s="119" t="str">
        <f t="shared" si="9"/>
        <v>FF</v>
      </c>
      <c r="M9" s="119" t="str">
        <f t="shared" si="3"/>
        <v>FF</v>
      </c>
      <c r="N9" s="119" t="str">
        <f t="shared" si="3"/>
        <v>00</v>
      </c>
      <c r="O9" s="120" t="str">
        <f t="shared" si="3"/>
        <v>FF</v>
      </c>
      <c r="P9" s="119">
        <f t="shared" si="10"/>
        <v>255</v>
      </c>
      <c r="Q9" s="119">
        <f t="shared" si="10"/>
        <v>255</v>
      </c>
      <c r="R9" s="120">
        <f t="shared" si="10"/>
        <v>0</v>
      </c>
      <c r="S9" s="121">
        <f t="shared" si="4"/>
        <v>255</v>
      </c>
      <c r="T9" s="121">
        <f t="shared" si="5"/>
        <v>255</v>
      </c>
      <c r="U9" s="121">
        <f t="shared" si="6"/>
        <v>0</v>
      </c>
      <c r="V9" s="142"/>
      <c r="W9" s="127"/>
    </row>
    <row r="10" spans="1:23" x14ac:dyDescent="0.35">
      <c r="A10" s="113" t="str">
        <f t="shared" si="11"/>
        <v xml:space="preserve">point = </v>
      </c>
      <c r="B10" s="58">
        <v>300</v>
      </c>
      <c r="C10" s="95">
        <f t="shared" ref="C10:E10" si="14">C9</f>
        <v>1</v>
      </c>
      <c r="D10" s="95">
        <f t="shared" si="14"/>
        <v>1</v>
      </c>
      <c r="E10" s="95">
        <f t="shared" si="14"/>
        <v>0</v>
      </c>
      <c r="F10" s="94">
        <f t="shared" si="12"/>
        <v>1</v>
      </c>
      <c r="G10" s="387" t="str">
        <f>G9</f>
        <v>; yellow</v>
      </c>
      <c r="H10" s="114">
        <f t="shared" si="8"/>
        <v>255</v>
      </c>
      <c r="I10" s="114">
        <f t="shared" si="8"/>
        <v>255</v>
      </c>
      <c r="J10" s="114">
        <f t="shared" si="8"/>
        <v>0</v>
      </c>
      <c r="K10" s="115">
        <f t="shared" si="8"/>
        <v>255</v>
      </c>
      <c r="L10" s="114" t="str">
        <f t="shared" si="9"/>
        <v>FF</v>
      </c>
      <c r="M10" s="114" t="str">
        <f t="shared" si="3"/>
        <v>FF</v>
      </c>
      <c r="N10" s="114" t="str">
        <f t="shared" si="3"/>
        <v>00</v>
      </c>
      <c r="O10" s="115" t="str">
        <f t="shared" si="3"/>
        <v>FF</v>
      </c>
      <c r="P10" s="114">
        <f t="shared" si="10"/>
        <v>255</v>
      </c>
      <c r="Q10" s="114">
        <f t="shared" si="10"/>
        <v>255</v>
      </c>
      <c r="R10" s="115">
        <f t="shared" si="10"/>
        <v>0</v>
      </c>
      <c r="S10" s="118">
        <f t="shared" si="4"/>
        <v>255</v>
      </c>
      <c r="T10" s="118">
        <f t="shared" si="5"/>
        <v>255</v>
      </c>
      <c r="U10" s="118">
        <f t="shared" si="6"/>
        <v>0</v>
      </c>
      <c r="V10" s="126"/>
      <c r="W10" s="127"/>
    </row>
    <row r="11" spans="1:23" x14ac:dyDescent="0.35">
      <c r="A11" s="113" t="str">
        <f t="shared" si="11"/>
        <v xml:space="preserve">point = </v>
      </c>
      <c r="B11" s="58">
        <f>B10</f>
        <v>300</v>
      </c>
      <c r="C11" s="95">
        <v>0.5</v>
      </c>
      <c r="D11" s="95">
        <v>1</v>
      </c>
      <c r="E11" s="95">
        <v>0</v>
      </c>
      <c r="F11" s="94">
        <f t="shared" si="12"/>
        <v>1</v>
      </c>
      <c r="G11" s="389" t="s">
        <v>82</v>
      </c>
      <c r="H11" s="114">
        <f t="shared" si="8"/>
        <v>128</v>
      </c>
      <c r="I11" s="114">
        <f t="shared" si="8"/>
        <v>255</v>
      </c>
      <c r="J11" s="114">
        <f t="shared" si="8"/>
        <v>0</v>
      </c>
      <c r="K11" s="115">
        <f t="shared" si="8"/>
        <v>255</v>
      </c>
      <c r="L11" s="114" t="str">
        <f t="shared" si="9"/>
        <v>80</v>
      </c>
      <c r="M11" s="114" t="str">
        <f t="shared" si="3"/>
        <v>FF</v>
      </c>
      <c r="N11" s="114" t="str">
        <f t="shared" si="3"/>
        <v>00</v>
      </c>
      <c r="O11" s="115" t="str">
        <f t="shared" si="3"/>
        <v>FF</v>
      </c>
      <c r="P11" s="116">
        <f t="shared" si="10"/>
        <v>128</v>
      </c>
      <c r="Q11" s="116">
        <f t="shared" si="10"/>
        <v>255</v>
      </c>
      <c r="R11" s="117">
        <f t="shared" si="10"/>
        <v>0</v>
      </c>
      <c r="S11" s="118">
        <f t="shared" si="4"/>
        <v>128</v>
      </c>
      <c r="T11" s="118">
        <f t="shared" si="5"/>
        <v>255</v>
      </c>
      <c r="U11" s="118">
        <f t="shared" si="6"/>
        <v>0</v>
      </c>
      <c r="V11" s="391"/>
      <c r="W11" s="392"/>
    </row>
    <row r="12" spans="1:23" x14ac:dyDescent="0.35">
      <c r="A12" s="113" t="str">
        <f t="shared" si="11"/>
        <v xml:space="preserve">point = </v>
      </c>
      <c r="B12" s="58">
        <v>400</v>
      </c>
      <c r="C12" s="95">
        <f>C11</f>
        <v>0.5</v>
      </c>
      <c r="D12" s="95">
        <f t="shared" ref="D12" si="15">D11</f>
        <v>1</v>
      </c>
      <c r="E12" s="95">
        <f>E11</f>
        <v>0</v>
      </c>
      <c r="F12" s="94">
        <f t="shared" si="12"/>
        <v>1</v>
      </c>
      <c r="G12" s="387" t="str">
        <f>G11</f>
        <v>; chartreuse</v>
      </c>
      <c r="H12" s="114">
        <f t="shared" ref="H12:H24" si="16">ROUND(C12*255,0)</f>
        <v>128</v>
      </c>
      <c r="I12" s="114">
        <f t="shared" ref="I12:I24" si="17">ROUND(D12*255,0)</f>
        <v>255</v>
      </c>
      <c r="J12" s="114">
        <f t="shared" ref="J12:J24" si="18">ROUND(E12*255,0)</f>
        <v>0</v>
      </c>
      <c r="K12" s="115">
        <f t="shared" ref="K12:K24" si="19">ROUND(F12*255,0)</f>
        <v>255</v>
      </c>
      <c r="L12" s="114" t="str">
        <f t="shared" ref="L12:L24" si="20">DEC2HEX(H12,2)</f>
        <v>80</v>
      </c>
      <c r="M12" s="114" t="str">
        <f t="shared" ref="M12:M24" si="21">DEC2HEX(I12,2)</f>
        <v>FF</v>
      </c>
      <c r="N12" s="114" t="str">
        <f t="shared" ref="N12:N24" si="22">DEC2HEX(J12,2)</f>
        <v>00</v>
      </c>
      <c r="O12" s="115" t="str">
        <f t="shared" ref="O12:O24" si="23">DEC2HEX(K12,2)</f>
        <v>FF</v>
      </c>
      <c r="P12" s="116">
        <f t="shared" ref="P12:P24" si="24">ROUND((C12*$F12+P$1/255*(1-$F12))*255,0)</f>
        <v>128</v>
      </c>
      <c r="Q12" s="116">
        <f t="shared" ref="Q12:Q24" si="25">ROUND((D12*$F12+Q$1/255*(1-$F12))*255,0)</f>
        <v>255</v>
      </c>
      <c r="R12" s="117">
        <f t="shared" ref="R12:R24" si="26">ROUND((E12*$F12+R$1/255*(1-$F12))*255,0)</f>
        <v>0</v>
      </c>
      <c r="S12" s="118">
        <f t="shared" ref="S12:S24" si="27">ROUND((C12^gamma*$F12+(S$1/255)^gamma*(1-$F12))^(1/gamma)*255,0)</f>
        <v>128</v>
      </c>
      <c r="T12" s="118">
        <f t="shared" ref="T12:T24" si="28">ROUND((D12^gamma*$F12+(T$1/255)^gamma*(1-$F12))^(1/gamma)*255,0)</f>
        <v>255</v>
      </c>
      <c r="U12" s="118">
        <f t="shared" ref="U12:U24" si="29">ROUND((E12^gamma*$F12+(U$1/255)^gamma*(1-$F12))^(1/gamma)*255,0)</f>
        <v>0</v>
      </c>
      <c r="V12" s="391"/>
      <c r="W12" s="392"/>
    </row>
    <row r="13" spans="1:23" x14ac:dyDescent="0.35">
      <c r="A13" s="113" t="str">
        <f t="shared" si="11"/>
        <v xml:space="preserve">point = </v>
      </c>
      <c r="B13" s="58">
        <f>B12</f>
        <v>400</v>
      </c>
      <c r="C13" s="95">
        <v>0</v>
      </c>
      <c r="D13" s="95">
        <v>1</v>
      </c>
      <c r="E13" s="95">
        <v>0</v>
      </c>
      <c r="F13" s="94">
        <f t="shared" si="12"/>
        <v>1</v>
      </c>
      <c r="G13" s="389" t="s">
        <v>30</v>
      </c>
      <c r="H13" s="114">
        <f t="shared" si="16"/>
        <v>0</v>
      </c>
      <c r="I13" s="114">
        <f t="shared" si="17"/>
        <v>255</v>
      </c>
      <c r="J13" s="114">
        <f t="shared" si="18"/>
        <v>0</v>
      </c>
      <c r="K13" s="115">
        <f t="shared" si="19"/>
        <v>255</v>
      </c>
      <c r="L13" s="114" t="str">
        <f t="shared" si="20"/>
        <v>00</v>
      </c>
      <c r="M13" s="114" t="str">
        <f t="shared" si="21"/>
        <v>FF</v>
      </c>
      <c r="N13" s="114" t="str">
        <f t="shared" si="22"/>
        <v>00</v>
      </c>
      <c r="O13" s="115" t="str">
        <f t="shared" si="23"/>
        <v>FF</v>
      </c>
      <c r="P13" s="116">
        <f t="shared" si="24"/>
        <v>0</v>
      </c>
      <c r="Q13" s="116">
        <f t="shared" si="25"/>
        <v>255</v>
      </c>
      <c r="R13" s="117">
        <f t="shared" si="26"/>
        <v>0</v>
      </c>
      <c r="S13" s="118">
        <f t="shared" si="27"/>
        <v>0</v>
      </c>
      <c r="T13" s="118">
        <f t="shared" si="28"/>
        <v>255</v>
      </c>
      <c r="U13" s="118">
        <f t="shared" si="29"/>
        <v>0</v>
      </c>
      <c r="V13" s="124"/>
      <c r="W13" s="125"/>
    </row>
    <row r="14" spans="1:23" x14ac:dyDescent="0.35">
      <c r="A14" s="131" t="str">
        <f t="shared" si="11"/>
        <v xml:space="preserve">point = </v>
      </c>
      <c r="B14" s="63">
        <v>500</v>
      </c>
      <c r="C14" s="138">
        <f>C13</f>
        <v>0</v>
      </c>
      <c r="D14" s="138">
        <f t="shared" ref="D14:E14" si="30">D13</f>
        <v>1</v>
      </c>
      <c r="E14" s="138">
        <f t="shared" si="30"/>
        <v>0</v>
      </c>
      <c r="F14" s="139">
        <f t="shared" si="12"/>
        <v>1</v>
      </c>
      <c r="G14" s="388" t="str">
        <f>G13</f>
        <v>; green</v>
      </c>
      <c r="H14" s="132">
        <f t="shared" si="16"/>
        <v>0</v>
      </c>
      <c r="I14" s="132">
        <f t="shared" si="17"/>
        <v>255</v>
      </c>
      <c r="J14" s="132">
        <f t="shared" si="18"/>
        <v>0</v>
      </c>
      <c r="K14" s="133">
        <f t="shared" si="19"/>
        <v>255</v>
      </c>
      <c r="L14" s="132" t="str">
        <f t="shared" si="20"/>
        <v>00</v>
      </c>
      <c r="M14" s="132" t="str">
        <f t="shared" si="21"/>
        <v>FF</v>
      </c>
      <c r="N14" s="132" t="str">
        <f t="shared" si="22"/>
        <v>00</v>
      </c>
      <c r="O14" s="133" t="str">
        <f t="shared" si="23"/>
        <v>FF</v>
      </c>
      <c r="P14" s="146">
        <f t="shared" si="24"/>
        <v>0</v>
      </c>
      <c r="Q14" s="146">
        <f t="shared" si="25"/>
        <v>255</v>
      </c>
      <c r="R14" s="147">
        <f t="shared" si="26"/>
        <v>0</v>
      </c>
      <c r="S14" s="134">
        <f t="shared" si="27"/>
        <v>0</v>
      </c>
      <c r="T14" s="134">
        <f t="shared" si="28"/>
        <v>255</v>
      </c>
      <c r="U14" s="134">
        <f t="shared" si="29"/>
        <v>0</v>
      </c>
      <c r="V14" s="144"/>
      <c r="W14" s="66"/>
    </row>
    <row r="15" spans="1:23" x14ac:dyDescent="0.35">
      <c r="A15" s="113" t="str">
        <f t="shared" si="11"/>
        <v xml:space="preserve">point = </v>
      </c>
      <c r="B15" s="58">
        <f>B14</f>
        <v>500</v>
      </c>
      <c r="C15" s="95">
        <v>1</v>
      </c>
      <c r="D15" s="95">
        <v>0</v>
      </c>
      <c r="E15" s="95">
        <v>0</v>
      </c>
      <c r="F15" s="94">
        <f t="shared" si="12"/>
        <v>1</v>
      </c>
      <c r="G15" s="389" t="s">
        <v>33</v>
      </c>
      <c r="H15" s="114">
        <f t="shared" si="16"/>
        <v>255</v>
      </c>
      <c r="I15" s="114">
        <f t="shared" si="17"/>
        <v>0</v>
      </c>
      <c r="J15" s="114">
        <f t="shared" si="18"/>
        <v>0</v>
      </c>
      <c r="K15" s="115">
        <f t="shared" si="19"/>
        <v>255</v>
      </c>
      <c r="L15" s="114" t="str">
        <f t="shared" si="20"/>
        <v>FF</v>
      </c>
      <c r="M15" s="114" t="str">
        <f t="shared" si="21"/>
        <v>00</v>
      </c>
      <c r="N15" s="114" t="str">
        <f t="shared" si="22"/>
        <v>00</v>
      </c>
      <c r="O15" s="115" t="str">
        <f t="shared" si="23"/>
        <v>FF</v>
      </c>
      <c r="P15" s="116">
        <f t="shared" si="24"/>
        <v>255</v>
      </c>
      <c r="Q15" s="116">
        <f t="shared" si="25"/>
        <v>0</v>
      </c>
      <c r="R15" s="117">
        <f t="shared" si="26"/>
        <v>0</v>
      </c>
      <c r="S15" s="118">
        <f t="shared" si="27"/>
        <v>255</v>
      </c>
      <c r="T15" s="118">
        <f t="shared" si="28"/>
        <v>0</v>
      </c>
      <c r="U15" s="118">
        <f t="shared" si="29"/>
        <v>0</v>
      </c>
      <c r="V15" s="141"/>
      <c r="W15" s="69"/>
    </row>
    <row r="16" spans="1:23" x14ac:dyDescent="0.35">
      <c r="A16" s="113" t="str">
        <f t="shared" si="11"/>
        <v xml:space="preserve">point = </v>
      </c>
      <c r="B16" s="58">
        <v>1500</v>
      </c>
      <c r="C16" s="95">
        <f>C15</f>
        <v>1</v>
      </c>
      <c r="D16" s="95">
        <f t="shared" ref="D16" si="31">D15</f>
        <v>0</v>
      </c>
      <c r="E16" s="95">
        <f t="shared" ref="E16" si="32">E15</f>
        <v>0</v>
      </c>
      <c r="F16" s="94">
        <f t="shared" si="12"/>
        <v>1</v>
      </c>
      <c r="G16" s="387" t="str">
        <f>G15</f>
        <v>; red</v>
      </c>
      <c r="H16" s="114">
        <f t="shared" si="16"/>
        <v>255</v>
      </c>
      <c r="I16" s="114">
        <f t="shared" si="17"/>
        <v>0</v>
      </c>
      <c r="J16" s="114">
        <f t="shared" si="18"/>
        <v>0</v>
      </c>
      <c r="K16" s="115">
        <f t="shared" si="19"/>
        <v>255</v>
      </c>
      <c r="L16" s="114" t="str">
        <f t="shared" si="20"/>
        <v>FF</v>
      </c>
      <c r="M16" s="114" t="str">
        <f t="shared" si="21"/>
        <v>00</v>
      </c>
      <c r="N16" s="114" t="str">
        <f t="shared" si="22"/>
        <v>00</v>
      </c>
      <c r="O16" s="115" t="str">
        <f t="shared" si="23"/>
        <v>FF</v>
      </c>
      <c r="P16" s="116">
        <f t="shared" si="24"/>
        <v>255</v>
      </c>
      <c r="Q16" s="116">
        <f t="shared" si="25"/>
        <v>0</v>
      </c>
      <c r="R16" s="117">
        <f t="shared" si="26"/>
        <v>0</v>
      </c>
      <c r="S16" s="118">
        <f t="shared" si="27"/>
        <v>255</v>
      </c>
      <c r="T16" s="118">
        <f t="shared" si="28"/>
        <v>0</v>
      </c>
      <c r="U16" s="118">
        <f t="shared" si="29"/>
        <v>0</v>
      </c>
      <c r="V16" s="141"/>
      <c r="W16" s="69"/>
    </row>
    <row r="17" spans="1:23" x14ac:dyDescent="0.35">
      <c r="A17" s="113" t="str">
        <f t="shared" si="11"/>
        <v xml:space="preserve">point = </v>
      </c>
      <c r="B17" s="58">
        <f>B16</f>
        <v>1500</v>
      </c>
      <c r="C17" s="95">
        <v>1</v>
      </c>
      <c r="D17" s="95">
        <v>0.5</v>
      </c>
      <c r="E17" s="95">
        <v>0</v>
      </c>
      <c r="F17" s="94">
        <f t="shared" si="12"/>
        <v>1</v>
      </c>
      <c r="G17" s="389" t="s">
        <v>32</v>
      </c>
      <c r="H17" s="114">
        <f t="shared" si="16"/>
        <v>255</v>
      </c>
      <c r="I17" s="114">
        <f t="shared" si="17"/>
        <v>128</v>
      </c>
      <c r="J17" s="114">
        <f t="shared" si="18"/>
        <v>0</v>
      </c>
      <c r="K17" s="115">
        <f t="shared" si="19"/>
        <v>255</v>
      </c>
      <c r="L17" s="114" t="str">
        <f t="shared" si="20"/>
        <v>FF</v>
      </c>
      <c r="M17" s="114" t="str">
        <f t="shared" si="21"/>
        <v>80</v>
      </c>
      <c r="N17" s="114" t="str">
        <f t="shared" si="22"/>
        <v>00</v>
      </c>
      <c r="O17" s="115" t="str">
        <f t="shared" si="23"/>
        <v>FF</v>
      </c>
      <c r="P17" s="116">
        <f t="shared" si="24"/>
        <v>255</v>
      </c>
      <c r="Q17" s="116">
        <f t="shared" si="25"/>
        <v>128</v>
      </c>
      <c r="R17" s="117">
        <f t="shared" si="26"/>
        <v>0</v>
      </c>
      <c r="S17" s="118">
        <f t="shared" si="27"/>
        <v>255</v>
      </c>
      <c r="T17" s="118">
        <f t="shared" si="28"/>
        <v>128</v>
      </c>
      <c r="U17" s="118">
        <f t="shared" si="29"/>
        <v>0</v>
      </c>
      <c r="V17" s="128"/>
      <c r="W17" s="129"/>
    </row>
    <row r="18" spans="1:23" x14ac:dyDescent="0.35">
      <c r="A18" s="113" t="str">
        <f t="shared" si="11"/>
        <v xml:space="preserve">point = </v>
      </c>
      <c r="B18" s="58">
        <v>2500</v>
      </c>
      <c r="C18" s="95">
        <f t="shared" ref="C18" si="33">C17</f>
        <v>1</v>
      </c>
      <c r="D18" s="95">
        <f t="shared" ref="D18" si="34">D17</f>
        <v>0.5</v>
      </c>
      <c r="E18" s="95">
        <f t="shared" ref="E18" si="35">E17</f>
        <v>0</v>
      </c>
      <c r="F18" s="94">
        <f t="shared" si="12"/>
        <v>1</v>
      </c>
      <c r="G18" s="387" t="str">
        <f>G17</f>
        <v>; orange</v>
      </c>
      <c r="H18" s="114">
        <f t="shared" si="16"/>
        <v>255</v>
      </c>
      <c r="I18" s="114">
        <f t="shared" si="17"/>
        <v>128</v>
      </c>
      <c r="J18" s="114">
        <f t="shared" si="18"/>
        <v>0</v>
      </c>
      <c r="K18" s="115">
        <f t="shared" si="19"/>
        <v>255</v>
      </c>
      <c r="L18" s="114" t="str">
        <f t="shared" si="20"/>
        <v>FF</v>
      </c>
      <c r="M18" s="114" t="str">
        <f t="shared" si="21"/>
        <v>80</v>
      </c>
      <c r="N18" s="114" t="str">
        <f t="shared" si="22"/>
        <v>00</v>
      </c>
      <c r="O18" s="115" t="str">
        <f t="shared" si="23"/>
        <v>FF</v>
      </c>
      <c r="P18" s="116">
        <f t="shared" si="24"/>
        <v>255</v>
      </c>
      <c r="Q18" s="116">
        <f t="shared" si="25"/>
        <v>128</v>
      </c>
      <c r="R18" s="117">
        <f t="shared" si="26"/>
        <v>0</v>
      </c>
      <c r="S18" s="118">
        <f t="shared" si="27"/>
        <v>255</v>
      </c>
      <c r="T18" s="118">
        <f t="shared" si="28"/>
        <v>128</v>
      </c>
      <c r="U18" s="118">
        <f t="shared" si="29"/>
        <v>0</v>
      </c>
      <c r="V18" s="128"/>
      <c r="W18" s="129"/>
    </row>
    <row r="19" spans="1:23" x14ac:dyDescent="0.35">
      <c r="A19" s="113" t="str">
        <f t="shared" si="11"/>
        <v xml:space="preserve">point = </v>
      </c>
      <c r="B19" s="58">
        <f>B18</f>
        <v>2500</v>
      </c>
      <c r="C19" s="95">
        <v>1</v>
      </c>
      <c r="D19" s="95">
        <v>1</v>
      </c>
      <c r="E19" s="95">
        <v>0</v>
      </c>
      <c r="F19" s="94">
        <f t="shared" si="12"/>
        <v>1</v>
      </c>
      <c r="G19" s="389" t="s">
        <v>31</v>
      </c>
      <c r="H19" s="114">
        <f t="shared" si="16"/>
        <v>255</v>
      </c>
      <c r="I19" s="114">
        <f t="shared" si="17"/>
        <v>255</v>
      </c>
      <c r="J19" s="114">
        <f t="shared" si="18"/>
        <v>0</v>
      </c>
      <c r="K19" s="115">
        <f t="shared" si="19"/>
        <v>255</v>
      </c>
      <c r="L19" s="114" t="str">
        <f t="shared" si="20"/>
        <v>FF</v>
      </c>
      <c r="M19" s="114" t="str">
        <f t="shared" si="21"/>
        <v>FF</v>
      </c>
      <c r="N19" s="114" t="str">
        <f t="shared" si="22"/>
        <v>00</v>
      </c>
      <c r="O19" s="115" t="str">
        <f t="shared" si="23"/>
        <v>FF</v>
      </c>
      <c r="P19" s="116">
        <f t="shared" si="24"/>
        <v>255</v>
      </c>
      <c r="Q19" s="116">
        <f t="shared" si="25"/>
        <v>255</v>
      </c>
      <c r="R19" s="117">
        <f t="shared" si="26"/>
        <v>0</v>
      </c>
      <c r="S19" s="118">
        <f t="shared" si="27"/>
        <v>255</v>
      </c>
      <c r="T19" s="118">
        <f t="shared" si="28"/>
        <v>255</v>
      </c>
      <c r="U19" s="118">
        <f t="shared" si="29"/>
        <v>0</v>
      </c>
      <c r="V19" s="126"/>
      <c r="W19" s="127"/>
    </row>
    <row r="20" spans="1:23" x14ac:dyDescent="0.35">
      <c r="A20" s="113" t="str">
        <f t="shared" si="11"/>
        <v xml:space="preserve">point = </v>
      </c>
      <c r="B20" s="58">
        <v>3500</v>
      </c>
      <c r="C20" s="95">
        <f t="shared" ref="C20" si="36">C19</f>
        <v>1</v>
      </c>
      <c r="D20" s="95">
        <f t="shared" ref="D20" si="37">D19</f>
        <v>1</v>
      </c>
      <c r="E20" s="95">
        <f t="shared" ref="E20" si="38">E19</f>
        <v>0</v>
      </c>
      <c r="F20" s="94">
        <f t="shared" si="12"/>
        <v>1</v>
      </c>
      <c r="G20" s="387" t="str">
        <f>G19</f>
        <v>; yellow</v>
      </c>
      <c r="H20" s="114">
        <f t="shared" si="16"/>
        <v>255</v>
      </c>
      <c r="I20" s="114">
        <f t="shared" si="17"/>
        <v>255</v>
      </c>
      <c r="J20" s="114">
        <f t="shared" si="18"/>
        <v>0</v>
      </c>
      <c r="K20" s="115">
        <f t="shared" si="19"/>
        <v>255</v>
      </c>
      <c r="L20" s="114" t="str">
        <f t="shared" si="20"/>
        <v>FF</v>
      </c>
      <c r="M20" s="114" t="str">
        <f t="shared" si="21"/>
        <v>FF</v>
      </c>
      <c r="N20" s="114" t="str">
        <f t="shared" si="22"/>
        <v>00</v>
      </c>
      <c r="O20" s="115" t="str">
        <f t="shared" si="23"/>
        <v>FF</v>
      </c>
      <c r="P20" s="116">
        <f t="shared" si="24"/>
        <v>255</v>
      </c>
      <c r="Q20" s="116">
        <f t="shared" si="25"/>
        <v>255</v>
      </c>
      <c r="R20" s="117">
        <f t="shared" si="26"/>
        <v>0</v>
      </c>
      <c r="S20" s="118">
        <f t="shared" si="27"/>
        <v>255</v>
      </c>
      <c r="T20" s="118">
        <f t="shared" si="28"/>
        <v>255</v>
      </c>
      <c r="U20" s="118">
        <f t="shared" si="29"/>
        <v>0</v>
      </c>
      <c r="V20" s="126"/>
      <c r="W20" s="127"/>
    </row>
    <row r="21" spans="1:23" x14ac:dyDescent="0.35">
      <c r="A21" s="113" t="str">
        <f t="shared" si="11"/>
        <v xml:space="preserve">point = </v>
      </c>
      <c r="B21" s="58">
        <f>B20</f>
        <v>3500</v>
      </c>
      <c r="C21" s="95">
        <v>0.5</v>
      </c>
      <c r="D21" s="95">
        <v>1</v>
      </c>
      <c r="E21" s="95">
        <v>0</v>
      </c>
      <c r="F21" s="94">
        <f t="shared" si="12"/>
        <v>1</v>
      </c>
      <c r="G21" s="389" t="s">
        <v>82</v>
      </c>
      <c r="H21" s="114">
        <f t="shared" si="16"/>
        <v>128</v>
      </c>
      <c r="I21" s="114">
        <f t="shared" si="17"/>
        <v>255</v>
      </c>
      <c r="J21" s="114">
        <f t="shared" si="18"/>
        <v>0</v>
      </c>
      <c r="K21" s="115">
        <f t="shared" si="19"/>
        <v>255</v>
      </c>
      <c r="L21" s="119" t="str">
        <f t="shared" si="20"/>
        <v>80</v>
      </c>
      <c r="M21" s="119" t="str">
        <f t="shared" si="21"/>
        <v>FF</v>
      </c>
      <c r="N21" s="119" t="str">
        <f t="shared" si="22"/>
        <v>00</v>
      </c>
      <c r="O21" s="115" t="str">
        <f t="shared" si="23"/>
        <v>FF</v>
      </c>
      <c r="P21" s="119">
        <f t="shared" si="24"/>
        <v>128</v>
      </c>
      <c r="Q21" s="119">
        <f t="shared" si="25"/>
        <v>255</v>
      </c>
      <c r="R21" s="120">
        <f t="shared" si="26"/>
        <v>0</v>
      </c>
      <c r="S21" s="121">
        <f t="shared" si="27"/>
        <v>128</v>
      </c>
      <c r="T21" s="121">
        <f t="shared" si="28"/>
        <v>255</v>
      </c>
      <c r="U21" s="121">
        <f t="shared" si="29"/>
        <v>0</v>
      </c>
      <c r="V21" s="393"/>
      <c r="W21" s="392"/>
    </row>
    <row r="22" spans="1:23" x14ac:dyDescent="0.35">
      <c r="A22" s="113" t="str">
        <f t="shared" si="11"/>
        <v xml:space="preserve">point = </v>
      </c>
      <c r="B22" s="58">
        <v>4500</v>
      </c>
      <c r="C22" s="95">
        <f>C21</f>
        <v>0.5</v>
      </c>
      <c r="D22" s="95">
        <f t="shared" ref="D22" si="39">D21</f>
        <v>1</v>
      </c>
      <c r="E22" s="95">
        <f>E21</f>
        <v>0</v>
      </c>
      <c r="F22" s="94">
        <f t="shared" si="12"/>
        <v>1</v>
      </c>
      <c r="G22" s="387" t="str">
        <f>G21</f>
        <v>; chartreuse</v>
      </c>
      <c r="H22" s="114">
        <f t="shared" si="16"/>
        <v>128</v>
      </c>
      <c r="I22" s="114">
        <f t="shared" si="17"/>
        <v>255</v>
      </c>
      <c r="J22" s="114">
        <f t="shared" si="18"/>
        <v>0</v>
      </c>
      <c r="K22" s="115">
        <f t="shared" si="19"/>
        <v>255</v>
      </c>
      <c r="L22" s="119" t="str">
        <f t="shared" si="20"/>
        <v>80</v>
      </c>
      <c r="M22" s="119" t="str">
        <f t="shared" si="21"/>
        <v>FF</v>
      </c>
      <c r="N22" s="119" t="str">
        <f t="shared" si="22"/>
        <v>00</v>
      </c>
      <c r="O22" s="115" t="str">
        <f t="shared" si="23"/>
        <v>FF</v>
      </c>
      <c r="P22" s="119">
        <f t="shared" si="24"/>
        <v>128</v>
      </c>
      <c r="Q22" s="119">
        <f t="shared" si="25"/>
        <v>255</v>
      </c>
      <c r="R22" s="120">
        <f t="shared" si="26"/>
        <v>0</v>
      </c>
      <c r="S22" s="121">
        <f t="shared" si="27"/>
        <v>128</v>
      </c>
      <c r="T22" s="121">
        <f t="shared" si="28"/>
        <v>255</v>
      </c>
      <c r="U22" s="121">
        <f t="shared" si="29"/>
        <v>0</v>
      </c>
      <c r="V22" s="393"/>
      <c r="W22" s="392"/>
    </row>
    <row r="23" spans="1:23" x14ac:dyDescent="0.35">
      <c r="A23" s="113" t="str">
        <f t="shared" si="11"/>
        <v xml:space="preserve">point = </v>
      </c>
      <c r="B23" s="58">
        <f>B22</f>
        <v>4500</v>
      </c>
      <c r="C23" s="95">
        <v>0</v>
      </c>
      <c r="D23" s="95">
        <v>1</v>
      </c>
      <c r="E23" s="95">
        <v>0</v>
      </c>
      <c r="F23" s="94">
        <f t="shared" si="12"/>
        <v>1</v>
      </c>
      <c r="G23" s="389" t="s">
        <v>30</v>
      </c>
      <c r="H23" s="114">
        <f t="shared" si="16"/>
        <v>0</v>
      </c>
      <c r="I23" s="114">
        <f t="shared" si="17"/>
        <v>255</v>
      </c>
      <c r="J23" s="114">
        <f t="shared" si="18"/>
        <v>0</v>
      </c>
      <c r="K23" s="115">
        <f t="shared" si="19"/>
        <v>255</v>
      </c>
      <c r="L23" s="119" t="str">
        <f t="shared" si="20"/>
        <v>00</v>
      </c>
      <c r="M23" s="119" t="str">
        <f t="shared" si="21"/>
        <v>FF</v>
      </c>
      <c r="N23" s="119" t="str">
        <f t="shared" si="22"/>
        <v>00</v>
      </c>
      <c r="O23" s="115" t="str">
        <f t="shared" si="23"/>
        <v>FF</v>
      </c>
      <c r="P23" s="119">
        <f t="shared" si="24"/>
        <v>0</v>
      </c>
      <c r="Q23" s="119">
        <f t="shared" si="25"/>
        <v>255</v>
      </c>
      <c r="R23" s="120">
        <f t="shared" si="26"/>
        <v>0</v>
      </c>
      <c r="S23" s="121">
        <f t="shared" si="27"/>
        <v>0</v>
      </c>
      <c r="T23" s="121">
        <f t="shared" si="28"/>
        <v>255</v>
      </c>
      <c r="U23" s="121">
        <f t="shared" si="29"/>
        <v>0</v>
      </c>
      <c r="V23" s="143"/>
      <c r="W23" s="125"/>
    </row>
    <row r="24" spans="1:23" x14ac:dyDescent="0.35">
      <c r="A24" s="131" t="str">
        <f t="shared" si="11"/>
        <v xml:space="preserve">point = </v>
      </c>
      <c r="B24" s="63">
        <v>5500</v>
      </c>
      <c r="C24" s="138">
        <f>C23</f>
        <v>0</v>
      </c>
      <c r="D24" s="138">
        <f t="shared" ref="D24" si="40">D23</f>
        <v>1</v>
      </c>
      <c r="E24" s="138">
        <f t="shared" ref="E24" si="41">E23</f>
        <v>0</v>
      </c>
      <c r="F24" s="139">
        <f t="shared" si="12"/>
        <v>1</v>
      </c>
      <c r="G24" s="388" t="str">
        <f>G23</f>
        <v>; green</v>
      </c>
      <c r="H24" s="132">
        <f t="shared" si="16"/>
        <v>0</v>
      </c>
      <c r="I24" s="132">
        <f t="shared" si="17"/>
        <v>255</v>
      </c>
      <c r="J24" s="132">
        <f t="shared" si="18"/>
        <v>0</v>
      </c>
      <c r="K24" s="133">
        <f t="shared" si="19"/>
        <v>255</v>
      </c>
      <c r="L24" s="132" t="str">
        <f t="shared" si="20"/>
        <v>00</v>
      </c>
      <c r="M24" s="132" t="str">
        <f t="shared" si="21"/>
        <v>FF</v>
      </c>
      <c r="N24" s="132" t="str">
        <f t="shared" si="22"/>
        <v>00</v>
      </c>
      <c r="O24" s="133" t="str">
        <f t="shared" si="23"/>
        <v>FF</v>
      </c>
      <c r="P24" s="132">
        <f t="shared" si="24"/>
        <v>0</v>
      </c>
      <c r="Q24" s="132">
        <f t="shared" si="25"/>
        <v>255</v>
      </c>
      <c r="R24" s="133">
        <f t="shared" si="26"/>
        <v>0</v>
      </c>
      <c r="S24" s="134">
        <f t="shared" si="27"/>
        <v>0</v>
      </c>
      <c r="T24" s="134">
        <f t="shared" si="28"/>
        <v>255</v>
      </c>
      <c r="U24" s="134">
        <f t="shared" si="29"/>
        <v>0</v>
      </c>
      <c r="V24" s="144"/>
      <c r="W24" s="66"/>
    </row>
  </sheetData>
  <sheetProtection sheet="1" objects="1" scenarios="1" formatCells="0"/>
  <mergeCells count="6">
    <mergeCell ref="A1:O1"/>
    <mergeCell ref="B2:O3"/>
    <mergeCell ref="P2:U2"/>
    <mergeCell ref="V2:W2"/>
    <mergeCell ref="P3:R3"/>
    <mergeCell ref="S3:U3"/>
  </mergeCells>
  <hyperlinks>
    <hyperlink ref="A1" r:id="rId1" xr:uid="{00000000-0004-0000-0100-000000000000}"/>
    <hyperlink ref="G11" r:id="rId2" xr:uid="{00000000-0004-0000-0100-000001000000}"/>
    <hyperlink ref="G9" r:id="rId3" xr:uid="{00000000-0004-0000-0100-000002000000}"/>
    <hyperlink ref="G7" r:id="rId4" xr:uid="{00000000-0004-0000-0100-000003000000}"/>
    <hyperlink ref="G5" r:id="rId5" xr:uid="{00000000-0004-0000-0100-000004000000}"/>
    <hyperlink ref="G13" r:id="rId6" xr:uid="{00000000-0004-0000-0100-000005000000}"/>
    <hyperlink ref="G21" r:id="rId7" xr:uid="{00000000-0004-0000-0100-000006000000}"/>
    <hyperlink ref="G19" r:id="rId8" xr:uid="{00000000-0004-0000-0100-000007000000}"/>
    <hyperlink ref="G17" r:id="rId9" xr:uid="{00000000-0004-0000-0100-000008000000}"/>
    <hyperlink ref="G15" r:id="rId10" xr:uid="{00000000-0004-0000-0100-000009000000}"/>
    <hyperlink ref="G23" r:id="rId11" xr:uid="{00000000-0004-0000-0100-00000A000000}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2"/>
  <headerFooter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4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ColWidth="9.1796875" defaultRowHeight="14.5" x14ac:dyDescent="0.35"/>
  <cols>
    <col min="1" max="1" width="18.7265625" style="239" customWidth="1"/>
    <col min="2" max="5" width="6.7265625" style="239" customWidth="1"/>
    <col min="6" max="19" width="4.7265625" style="239" customWidth="1"/>
    <col min="20" max="21" width="8.7265625" style="239" customWidth="1"/>
    <col min="22" max="16384" width="9.1796875" style="239"/>
  </cols>
  <sheetData>
    <row r="1" spans="1:27" x14ac:dyDescent="0.35">
      <c r="A1" s="468" t="s">
        <v>37</v>
      </c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60">
        <v>0</v>
      </c>
      <c r="O1" s="61">
        <v>0</v>
      </c>
      <c r="P1" s="62">
        <v>0</v>
      </c>
      <c r="Q1" s="240">
        <f>N1</f>
        <v>0</v>
      </c>
      <c r="R1" s="241">
        <f t="shared" ref="R1:S1" si="0">O1</f>
        <v>0</v>
      </c>
      <c r="S1" s="242">
        <f t="shared" si="0"/>
        <v>0</v>
      </c>
      <c r="T1" s="155"/>
      <c r="U1" s="68"/>
      <c r="V1" s="156"/>
      <c r="W1" s="157"/>
      <c r="X1" s="158"/>
      <c r="Y1" s="159"/>
      <c r="Z1" s="160"/>
      <c r="AA1" s="302"/>
    </row>
    <row r="2" spans="1:27" x14ac:dyDescent="0.35">
      <c r="A2" s="101" t="s">
        <v>20</v>
      </c>
      <c r="B2" s="481" t="s">
        <v>109</v>
      </c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3"/>
      <c r="N2" s="470" t="s">
        <v>24</v>
      </c>
      <c r="O2" s="471"/>
      <c r="P2" s="471"/>
      <c r="Q2" s="471"/>
      <c r="R2" s="471"/>
      <c r="S2" s="472"/>
      <c r="T2" s="473" t="s">
        <v>21</v>
      </c>
      <c r="U2" s="474"/>
      <c r="V2" s="487" t="s">
        <v>47</v>
      </c>
      <c r="W2" s="487"/>
      <c r="X2" s="487" t="s">
        <v>48</v>
      </c>
      <c r="Y2" s="487"/>
      <c r="Z2" s="487" t="s">
        <v>49</v>
      </c>
      <c r="AA2" s="487"/>
    </row>
    <row r="3" spans="1:27" x14ac:dyDescent="0.35">
      <c r="A3" s="57">
        <v>2.2000000000000002</v>
      </c>
      <c r="B3" s="484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6"/>
      <c r="N3" s="475" t="s">
        <v>18</v>
      </c>
      <c r="O3" s="476"/>
      <c r="P3" s="477"/>
      <c r="Q3" s="478" t="str">
        <f>"γ = "&amp;gamma</f>
        <v>γ = 2.2</v>
      </c>
      <c r="R3" s="479"/>
      <c r="S3" s="480"/>
      <c r="T3" s="102" t="str">
        <f>N3</f>
        <v>γ = 1</v>
      </c>
      <c r="U3" s="245" t="str">
        <f>Q3</f>
        <v>γ = 2.2</v>
      </c>
      <c r="V3" s="240" t="str">
        <f>N3</f>
        <v>γ = 1</v>
      </c>
      <c r="W3" s="245" t="str">
        <f>Q3</f>
        <v>γ = 2.2</v>
      </c>
      <c r="X3" s="240" t="str">
        <f>N3</f>
        <v>γ = 1</v>
      </c>
      <c r="Y3" s="245" t="str">
        <f>Q3</f>
        <v>γ = 2.2</v>
      </c>
      <c r="Z3" s="240" t="str">
        <f>N3</f>
        <v>γ = 1</v>
      </c>
      <c r="AA3" s="245" t="str">
        <f>Q3</f>
        <v>γ = 2.2</v>
      </c>
    </row>
    <row r="4" spans="1:27" x14ac:dyDescent="0.35">
      <c r="A4" s="161"/>
      <c r="B4" s="241" t="s">
        <v>0</v>
      </c>
      <c r="C4" s="241" t="s">
        <v>1</v>
      </c>
      <c r="D4" s="241" t="s">
        <v>2</v>
      </c>
      <c r="E4" s="242" t="s">
        <v>3</v>
      </c>
      <c r="F4" s="241" t="str">
        <f>B4</f>
        <v>R</v>
      </c>
      <c r="G4" s="241" t="str">
        <f t="shared" ref="G4:P4" si="1">C4</f>
        <v>G</v>
      </c>
      <c r="H4" s="241" t="str">
        <f t="shared" si="1"/>
        <v>B</v>
      </c>
      <c r="I4" s="242" t="str">
        <f t="shared" si="1"/>
        <v>A</v>
      </c>
      <c r="J4" s="241" t="str">
        <f t="shared" si="1"/>
        <v>R</v>
      </c>
      <c r="K4" s="241" t="str">
        <f t="shared" si="1"/>
        <v>G</v>
      </c>
      <c r="L4" s="241" t="str">
        <f t="shared" si="1"/>
        <v>B</v>
      </c>
      <c r="M4" s="242" t="str">
        <f t="shared" si="1"/>
        <v>A</v>
      </c>
      <c r="N4" s="241" t="str">
        <f t="shared" si="1"/>
        <v>R</v>
      </c>
      <c r="O4" s="241" t="str">
        <f t="shared" si="1"/>
        <v>G</v>
      </c>
      <c r="P4" s="242" t="str">
        <f t="shared" si="1"/>
        <v>B</v>
      </c>
      <c r="Q4" s="243" t="str">
        <f>N4</f>
        <v>R</v>
      </c>
      <c r="R4" s="244" t="str">
        <f t="shared" ref="R4:S4" si="2">O4</f>
        <v>G</v>
      </c>
      <c r="S4" s="245" t="str">
        <f t="shared" si="2"/>
        <v>B</v>
      </c>
      <c r="T4" s="240" t="s">
        <v>13</v>
      </c>
      <c r="U4" s="245" t="str">
        <f>T4</f>
        <v>Color</v>
      </c>
      <c r="V4" s="240" t="str">
        <f>U4</f>
        <v>Color</v>
      </c>
      <c r="W4" s="245" t="str">
        <f t="shared" ref="W4:AA4" si="3">V4</f>
        <v>Color</v>
      </c>
      <c r="X4" s="240" t="str">
        <f t="shared" si="3"/>
        <v>Color</v>
      </c>
      <c r="Y4" s="245" t="str">
        <f t="shared" si="3"/>
        <v>Color</v>
      </c>
      <c r="Z4" s="240" t="str">
        <f t="shared" si="3"/>
        <v>Color</v>
      </c>
      <c r="AA4" s="245" t="str">
        <f t="shared" si="3"/>
        <v>Color</v>
      </c>
    </row>
    <row r="5" spans="1:27" x14ac:dyDescent="0.35">
      <c r="A5" s="162" t="s">
        <v>38</v>
      </c>
      <c r="B5" s="110">
        <f t="shared" ref="B5:D6" si="4">F5/255</f>
        <v>0</v>
      </c>
      <c r="C5" s="110">
        <f t="shared" si="4"/>
        <v>0</v>
      </c>
      <c r="D5" s="110">
        <f t="shared" si="4"/>
        <v>0</v>
      </c>
      <c r="E5" s="150">
        <v>1</v>
      </c>
      <c r="F5" s="110">
        <f t="shared" ref="F5:H6" si="5">HEX2DEC(J5)</f>
        <v>0</v>
      </c>
      <c r="G5" s="110">
        <f t="shared" si="5"/>
        <v>0</v>
      </c>
      <c r="H5" s="110">
        <f t="shared" si="5"/>
        <v>0</v>
      </c>
      <c r="I5" s="111">
        <f t="shared" ref="I5:I6" si="6">ROUND(E5*255,0)</f>
        <v>255</v>
      </c>
      <c r="J5" s="151" t="s">
        <v>5</v>
      </c>
      <c r="K5" s="151" t="s">
        <v>5</v>
      </c>
      <c r="L5" s="151" t="s">
        <v>5</v>
      </c>
      <c r="M5" s="163" t="str">
        <f t="shared" ref="M5:M6" si="7">DEC2HEX(I5,2)</f>
        <v>FF</v>
      </c>
      <c r="N5" s="110">
        <f t="shared" ref="N5:P5" si="8">ROUND((B5*$E5+N$1/255*(1-$E5))*255,0)</f>
        <v>0</v>
      </c>
      <c r="O5" s="110">
        <f t="shared" si="8"/>
        <v>0</v>
      </c>
      <c r="P5" s="111">
        <f t="shared" si="8"/>
        <v>0</v>
      </c>
      <c r="Q5" s="112">
        <f t="shared" ref="Q5:Q47" si="9">ROUND((B5^gamma*$E5+(Q$1/255)^gamma*(1-$E5))^(1/gamma)*255,0)</f>
        <v>0</v>
      </c>
      <c r="R5" s="112">
        <f t="shared" ref="R5:R47" si="10">ROUND((C5^gamma*$E5+(R$1/255)^gamma*(1-$E5))^(1/gamma)*255,0)</f>
        <v>0</v>
      </c>
      <c r="S5" s="164">
        <f t="shared" ref="S5:S47" si="11">ROUND((D5^gamma*$E5+(S$1/255)^gamma*(1-$E5))^(1/gamma)*255,0)</f>
        <v>0</v>
      </c>
      <c r="T5" s="148"/>
      <c r="U5" s="149"/>
      <c r="V5" s="165" t="s">
        <v>60</v>
      </c>
      <c r="W5" s="166" t="str">
        <f>V5</f>
        <v>Text</v>
      </c>
      <c r="X5" s="167" t="str">
        <f t="shared" ref="X5:AA5" si="12">W5</f>
        <v>Text</v>
      </c>
      <c r="Y5" s="168" t="str">
        <f t="shared" si="12"/>
        <v>Text</v>
      </c>
      <c r="Z5" s="169" t="str">
        <f t="shared" si="12"/>
        <v>Text</v>
      </c>
      <c r="AA5" s="303" t="str">
        <f t="shared" si="12"/>
        <v>Text</v>
      </c>
    </row>
    <row r="6" spans="1:27" x14ac:dyDescent="0.35">
      <c r="A6" s="170" t="s">
        <v>39</v>
      </c>
      <c r="B6" s="116">
        <f t="shared" si="4"/>
        <v>0.29803921568627451</v>
      </c>
      <c r="C6" s="116">
        <f t="shared" si="4"/>
        <v>0.81176470588235294</v>
      </c>
      <c r="D6" s="116">
        <f t="shared" si="4"/>
        <v>1</v>
      </c>
      <c r="E6" s="59">
        <v>1</v>
      </c>
      <c r="F6" s="116">
        <f t="shared" si="5"/>
        <v>76</v>
      </c>
      <c r="G6" s="116">
        <f t="shared" si="5"/>
        <v>207</v>
      </c>
      <c r="H6" s="116">
        <f t="shared" si="5"/>
        <v>255</v>
      </c>
      <c r="I6" s="117">
        <f t="shared" si="6"/>
        <v>255</v>
      </c>
      <c r="J6" s="70" t="s">
        <v>50</v>
      </c>
      <c r="K6" s="70" t="s">
        <v>51</v>
      </c>
      <c r="L6" s="70" t="s">
        <v>4</v>
      </c>
      <c r="M6" s="171" t="str">
        <f t="shared" si="7"/>
        <v>FF</v>
      </c>
      <c r="N6" s="116">
        <f t="shared" ref="N6:P6" si="13">ROUND((B6*$E6+N$1/255*(1-$E6))*255,0)</f>
        <v>76</v>
      </c>
      <c r="O6" s="116">
        <f t="shared" si="13"/>
        <v>207</v>
      </c>
      <c r="P6" s="117">
        <f t="shared" si="13"/>
        <v>255</v>
      </c>
      <c r="Q6" s="118">
        <f t="shared" si="9"/>
        <v>76</v>
      </c>
      <c r="R6" s="118">
        <f t="shared" si="10"/>
        <v>207</v>
      </c>
      <c r="S6" s="172">
        <f t="shared" si="11"/>
        <v>255</v>
      </c>
      <c r="T6" s="173"/>
      <c r="U6" s="174"/>
      <c r="V6" s="175" t="str">
        <f>V5</f>
        <v>Text</v>
      </c>
      <c r="W6" s="176" t="str">
        <f t="shared" ref="W6:W47" si="14">W5</f>
        <v>Text</v>
      </c>
      <c r="X6" s="177" t="str">
        <f t="shared" ref="X6:X47" si="15">X5</f>
        <v>Text</v>
      </c>
      <c r="Y6" s="178" t="str">
        <f t="shared" ref="Y6:Y47" si="16">Y5</f>
        <v>Text</v>
      </c>
      <c r="Z6" s="179" t="str">
        <f t="shared" ref="Z6:Z47" si="17">Z5</f>
        <v>Text</v>
      </c>
      <c r="AA6" s="304" t="str">
        <f t="shared" ref="AA6:AA47" si="18">AA5</f>
        <v>Text</v>
      </c>
    </row>
    <row r="7" spans="1:27" x14ac:dyDescent="0.35">
      <c r="A7" s="170" t="s">
        <v>56</v>
      </c>
      <c r="B7" s="116">
        <f t="shared" ref="B7:B13" si="19">F7/255</f>
        <v>0</v>
      </c>
      <c r="C7" s="116">
        <f t="shared" ref="C7:C13" si="20">G7/255</f>
        <v>0.20784313725490197</v>
      </c>
      <c r="D7" s="116">
        <f t="shared" ref="D7:D13" si="21">H7/255</f>
        <v>0.29019607843137257</v>
      </c>
      <c r="E7" s="59">
        <v>0.9</v>
      </c>
      <c r="F7" s="116">
        <f t="shared" ref="F7:F13" si="22">HEX2DEC(J7)</f>
        <v>0</v>
      </c>
      <c r="G7" s="116">
        <f t="shared" ref="G7:G13" si="23">HEX2DEC(K7)</f>
        <v>53</v>
      </c>
      <c r="H7" s="116">
        <f t="shared" ref="H7:H13" si="24">HEX2DEC(L7)</f>
        <v>74</v>
      </c>
      <c r="I7" s="117">
        <f t="shared" ref="I7:I13" si="25">ROUND(E7*255,0)</f>
        <v>230</v>
      </c>
      <c r="J7" s="70" t="s">
        <v>5</v>
      </c>
      <c r="K7" s="70" t="s">
        <v>6</v>
      </c>
      <c r="L7" s="70" t="s">
        <v>7</v>
      </c>
      <c r="M7" s="171" t="str">
        <f t="shared" ref="M7:M13" si="26">DEC2HEX(I7,2)</f>
        <v>E6</v>
      </c>
      <c r="N7" s="116">
        <f t="shared" ref="N7:N26" si="27">ROUND((B7*$E7+N$1/255*(1-$E7))*255,0)</f>
        <v>0</v>
      </c>
      <c r="O7" s="116">
        <f t="shared" ref="O7:O26" si="28">ROUND((C7*$E7+O$1/255*(1-$E7))*255,0)</f>
        <v>48</v>
      </c>
      <c r="P7" s="117">
        <f t="shared" ref="P7:P26" si="29">ROUND((D7*$E7+P$1/255*(1-$E7))*255,0)</f>
        <v>67</v>
      </c>
      <c r="Q7" s="118">
        <f t="shared" si="9"/>
        <v>0</v>
      </c>
      <c r="R7" s="118">
        <f t="shared" si="10"/>
        <v>51</v>
      </c>
      <c r="S7" s="172">
        <f t="shared" si="11"/>
        <v>71</v>
      </c>
      <c r="T7" s="180"/>
      <c r="U7" s="379"/>
      <c r="V7" s="181" t="str">
        <f t="shared" ref="V7:V47" si="30">V6</f>
        <v>Text</v>
      </c>
      <c r="W7" s="381" t="str">
        <f t="shared" si="14"/>
        <v>Text</v>
      </c>
      <c r="X7" s="182" t="str">
        <f t="shared" si="15"/>
        <v>Text</v>
      </c>
      <c r="Y7" s="383" t="str">
        <f t="shared" si="16"/>
        <v>Text</v>
      </c>
      <c r="Z7" s="183" t="str">
        <f t="shared" si="17"/>
        <v>Text</v>
      </c>
      <c r="AA7" s="385" t="str">
        <f t="shared" si="18"/>
        <v>Text</v>
      </c>
    </row>
    <row r="8" spans="1:27" x14ac:dyDescent="0.35">
      <c r="A8" s="170" t="s">
        <v>55</v>
      </c>
      <c r="B8" s="116">
        <f t="shared" si="19"/>
        <v>0</v>
      </c>
      <c r="C8" s="116">
        <f t="shared" si="20"/>
        <v>0.5725490196078431</v>
      </c>
      <c r="D8" s="116">
        <f t="shared" si="21"/>
        <v>0.8</v>
      </c>
      <c r="E8" s="59">
        <v>0.3</v>
      </c>
      <c r="F8" s="116">
        <f t="shared" si="22"/>
        <v>0</v>
      </c>
      <c r="G8" s="116">
        <f t="shared" si="23"/>
        <v>146</v>
      </c>
      <c r="H8" s="116">
        <f t="shared" si="24"/>
        <v>204</v>
      </c>
      <c r="I8" s="117">
        <f t="shared" si="25"/>
        <v>77</v>
      </c>
      <c r="J8" s="70" t="s">
        <v>5</v>
      </c>
      <c r="K8" s="70" t="s">
        <v>52</v>
      </c>
      <c r="L8" s="70" t="s">
        <v>53</v>
      </c>
      <c r="M8" s="171" t="str">
        <f t="shared" si="26"/>
        <v>4D</v>
      </c>
      <c r="N8" s="116">
        <f t="shared" si="27"/>
        <v>0</v>
      </c>
      <c r="O8" s="116">
        <f t="shared" si="28"/>
        <v>44</v>
      </c>
      <c r="P8" s="117">
        <f t="shared" si="29"/>
        <v>61</v>
      </c>
      <c r="Q8" s="118">
        <f t="shared" si="9"/>
        <v>0</v>
      </c>
      <c r="R8" s="118">
        <f t="shared" si="10"/>
        <v>84</v>
      </c>
      <c r="S8" s="172">
        <f t="shared" si="11"/>
        <v>118</v>
      </c>
      <c r="T8" s="184"/>
      <c r="U8" s="380"/>
      <c r="V8" s="185" t="str">
        <f t="shared" si="30"/>
        <v>Text</v>
      </c>
      <c r="W8" s="382" t="str">
        <f t="shared" si="14"/>
        <v>Text</v>
      </c>
      <c r="X8" s="186" t="str">
        <f t="shared" si="15"/>
        <v>Text</v>
      </c>
      <c r="Y8" s="384" t="str">
        <f t="shared" si="16"/>
        <v>Text</v>
      </c>
      <c r="Z8" s="187" t="str">
        <f t="shared" si="17"/>
        <v>Text</v>
      </c>
      <c r="AA8" s="386" t="str">
        <f t="shared" si="18"/>
        <v>Text</v>
      </c>
    </row>
    <row r="9" spans="1:27" x14ac:dyDescent="0.35">
      <c r="A9" s="170" t="s">
        <v>54</v>
      </c>
      <c r="B9" s="116">
        <f t="shared" si="19"/>
        <v>1</v>
      </c>
      <c r="C9" s="116">
        <f t="shared" si="20"/>
        <v>1</v>
      </c>
      <c r="D9" s="116">
        <f t="shared" si="21"/>
        <v>1</v>
      </c>
      <c r="E9" s="59">
        <v>1</v>
      </c>
      <c r="F9" s="116">
        <f t="shared" si="22"/>
        <v>255</v>
      </c>
      <c r="G9" s="116">
        <f t="shared" si="23"/>
        <v>255</v>
      </c>
      <c r="H9" s="116">
        <f t="shared" si="24"/>
        <v>255</v>
      </c>
      <c r="I9" s="117">
        <f t="shared" si="25"/>
        <v>255</v>
      </c>
      <c r="J9" s="70" t="s">
        <v>4</v>
      </c>
      <c r="K9" s="70" t="s">
        <v>4</v>
      </c>
      <c r="L9" s="70" t="s">
        <v>4</v>
      </c>
      <c r="M9" s="171" t="str">
        <f t="shared" si="26"/>
        <v>FF</v>
      </c>
      <c r="N9" s="116">
        <f t="shared" si="27"/>
        <v>255</v>
      </c>
      <c r="O9" s="116">
        <f t="shared" si="28"/>
        <v>255</v>
      </c>
      <c r="P9" s="117">
        <f t="shared" si="29"/>
        <v>255</v>
      </c>
      <c r="Q9" s="118">
        <f t="shared" si="9"/>
        <v>255</v>
      </c>
      <c r="R9" s="118">
        <f t="shared" si="10"/>
        <v>255</v>
      </c>
      <c r="S9" s="172">
        <f t="shared" si="11"/>
        <v>255</v>
      </c>
      <c r="T9" s="188"/>
      <c r="U9" s="189"/>
      <c r="V9" s="190" t="str">
        <f t="shared" si="30"/>
        <v>Text</v>
      </c>
      <c r="W9" s="191" t="str">
        <f t="shared" si="14"/>
        <v>Text</v>
      </c>
      <c r="X9" s="192" t="str">
        <f t="shared" si="15"/>
        <v>Text</v>
      </c>
      <c r="Y9" s="193" t="str">
        <f t="shared" si="16"/>
        <v>Text</v>
      </c>
      <c r="Z9" s="194" t="str">
        <f t="shared" si="17"/>
        <v>Text</v>
      </c>
      <c r="AA9" s="305" t="str">
        <f t="shared" si="18"/>
        <v>Text</v>
      </c>
    </row>
    <row r="10" spans="1:27" x14ac:dyDescent="0.35">
      <c r="A10" s="170" t="s">
        <v>57</v>
      </c>
      <c r="B10" s="116">
        <f t="shared" si="19"/>
        <v>0.7803921568627451</v>
      </c>
      <c r="C10" s="116">
        <f t="shared" si="20"/>
        <v>0.7803921568627451</v>
      </c>
      <c r="D10" s="116">
        <f t="shared" si="21"/>
        <v>0.7803921568627451</v>
      </c>
      <c r="E10" s="59">
        <v>1</v>
      </c>
      <c r="F10" s="116">
        <f t="shared" si="22"/>
        <v>199</v>
      </c>
      <c r="G10" s="116">
        <f t="shared" si="23"/>
        <v>199</v>
      </c>
      <c r="H10" s="116">
        <f t="shared" si="24"/>
        <v>199</v>
      </c>
      <c r="I10" s="117">
        <f t="shared" si="25"/>
        <v>255</v>
      </c>
      <c r="J10" s="70" t="s">
        <v>58</v>
      </c>
      <c r="K10" s="70" t="s">
        <v>58</v>
      </c>
      <c r="L10" s="70" t="s">
        <v>58</v>
      </c>
      <c r="M10" s="171" t="str">
        <f t="shared" si="26"/>
        <v>FF</v>
      </c>
      <c r="N10" s="116">
        <f t="shared" si="27"/>
        <v>199</v>
      </c>
      <c r="O10" s="116">
        <f t="shared" si="28"/>
        <v>199</v>
      </c>
      <c r="P10" s="117">
        <f t="shared" si="29"/>
        <v>199</v>
      </c>
      <c r="Q10" s="118">
        <f t="shared" si="9"/>
        <v>199</v>
      </c>
      <c r="R10" s="118">
        <f t="shared" si="10"/>
        <v>199</v>
      </c>
      <c r="S10" s="172">
        <f t="shared" si="11"/>
        <v>199</v>
      </c>
      <c r="T10" s="195"/>
      <c r="U10" s="196"/>
      <c r="V10" s="197" t="str">
        <f t="shared" si="30"/>
        <v>Text</v>
      </c>
      <c r="W10" s="198" t="str">
        <f t="shared" si="14"/>
        <v>Text</v>
      </c>
      <c r="X10" s="199" t="str">
        <f t="shared" si="15"/>
        <v>Text</v>
      </c>
      <c r="Y10" s="200" t="str">
        <f t="shared" si="16"/>
        <v>Text</v>
      </c>
      <c r="Z10" s="201" t="str">
        <f t="shared" si="17"/>
        <v>Text</v>
      </c>
      <c r="AA10" s="306" t="str">
        <f t="shared" si="18"/>
        <v>Text</v>
      </c>
    </row>
    <row r="11" spans="1:27" x14ac:dyDescent="0.35">
      <c r="A11" s="202" t="s">
        <v>44</v>
      </c>
      <c r="B11" s="146">
        <f t="shared" si="19"/>
        <v>0.81960784313725488</v>
      </c>
      <c r="C11" s="146">
        <f t="shared" si="20"/>
        <v>0.81960784313725488</v>
      </c>
      <c r="D11" s="146">
        <f t="shared" si="21"/>
        <v>0.81960784313725488</v>
      </c>
      <c r="E11" s="64">
        <v>1</v>
      </c>
      <c r="F11" s="146">
        <f t="shared" si="22"/>
        <v>209</v>
      </c>
      <c r="G11" s="146">
        <f t="shared" si="23"/>
        <v>209</v>
      </c>
      <c r="H11" s="146">
        <f t="shared" si="24"/>
        <v>209</v>
      </c>
      <c r="I11" s="147">
        <f t="shared" si="25"/>
        <v>255</v>
      </c>
      <c r="J11" s="152" t="s">
        <v>59</v>
      </c>
      <c r="K11" s="152" t="s">
        <v>59</v>
      </c>
      <c r="L11" s="152" t="s">
        <v>59</v>
      </c>
      <c r="M11" s="203" t="str">
        <f t="shared" si="26"/>
        <v>FF</v>
      </c>
      <c r="N11" s="146">
        <f t="shared" si="27"/>
        <v>209</v>
      </c>
      <c r="O11" s="146">
        <f t="shared" si="28"/>
        <v>209</v>
      </c>
      <c r="P11" s="147">
        <f t="shared" si="29"/>
        <v>209</v>
      </c>
      <c r="Q11" s="134">
        <f t="shared" si="9"/>
        <v>209</v>
      </c>
      <c r="R11" s="134">
        <f t="shared" si="10"/>
        <v>209</v>
      </c>
      <c r="S11" s="204">
        <f t="shared" si="11"/>
        <v>209</v>
      </c>
      <c r="T11" s="205"/>
      <c r="U11" s="206"/>
      <c r="V11" s="207" t="str">
        <f t="shared" si="30"/>
        <v>Text</v>
      </c>
      <c r="W11" s="208" t="str">
        <f t="shared" si="14"/>
        <v>Text</v>
      </c>
      <c r="X11" s="209" t="str">
        <f t="shared" si="15"/>
        <v>Text</v>
      </c>
      <c r="Y11" s="210" t="str">
        <f t="shared" si="16"/>
        <v>Text</v>
      </c>
      <c r="Z11" s="211" t="str">
        <f t="shared" si="17"/>
        <v>Text</v>
      </c>
      <c r="AA11" s="307" t="str">
        <f t="shared" si="18"/>
        <v>Text</v>
      </c>
    </row>
    <row r="12" spans="1:27" x14ac:dyDescent="0.35">
      <c r="A12" s="170" t="s">
        <v>45</v>
      </c>
      <c r="B12" s="110">
        <f t="shared" si="19"/>
        <v>0</v>
      </c>
      <c r="C12" s="110">
        <f t="shared" si="20"/>
        <v>0</v>
      </c>
      <c r="D12" s="110">
        <f t="shared" si="21"/>
        <v>0</v>
      </c>
      <c r="E12" s="150">
        <f>E5</f>
        <v>1</v>
      </c>
      <c r="F12" s="110">
        <f t="shared" si="22"/>
        <v>0</v>
      </c>
      <c r="G12" s="110">
        <f t="shared" si="23"/>
        <v>0</v>
      </c>
      <c r="H12" s="110">
        <f t="shared" si="24"/>
        <v>0</v>
      </c>
      <c r="I12" s="111">
        <f t="shared" si="25"/>
        <v>255</v>
      </c>
      <c r="J12" s="151" t="s">
        <v>5</v>
      </c>
      <c r="K12" s="151" t="s">
        <v>5</v>
      </c>
      <c r="L12" s="151" t="s">
        <v>5</v>
      </c>
      <c r="M12" s="163" t="str">
        <f t="shared" si="26"/>
        <v>FF</v>
      </c>
      <c r="N12" s="116">
        <f t="shared" si="27"/>
        <v>0</v>
      </c>
      <c r="O12" s="116">
        <f t="shared" si="28"/>
        <v>0</v>
      </c>
      <c r="P12" s="117">
        <f t="shared" si="29"/>
        <v>0</v>
      </c>
      <c r="Q12" s="118">
        <f t="shared" si="9"/>
        <v>0</v>
      </c>
      <c r="R12" s="118">
        <f t="shared" si="10"/>
        <v>0</v>
      </c>
      <c r="S12" s="172">
        <f t="shared" si="11"/>
        <v>0</v>
      </c>
      <c r="T12" s="122"/>
      <c r="U12" s="123"/>
      <c r="V12" s="212" t="str">
        <f t="shared" si="30"/>
        <v>Text</v>
      </c>
      <c r="W12" s="213" t="str">
        <f t="shared" si="14"/>
        <v>Text</v>
      </c>
      <c r="X12" s="214" t="str">
        <f t="shared" si="15"/>
        <v>Text</v>
      </c>
      <c r="Y12" s="215" t="str">
        <f t="shared" si="16"/>
        <v>Text</v>
      </c>
      <c r="Z12" s="216" t="str">
        <f t="shared" si="17"/>
        <v>Text</v>
      </c>
      <c r="AA12" s="308" t="str">
        <f t="shared" si="18"/>
        <v>Text</v>
      </c>
    </row>
    <row r="13" spans="1:27" x14ac:dyDescent="0.35">
      <c r="A13" s="170" t="s">
        <v>46</v>
      </c>
      <c r="B13" s="116">
        <f t="shared" si="19"/>
        <v>0.29803921568627451</v>
      </c>
      <c r="C13" s="116">
        <f t="shared" si="20"/>
        <v>0.81176470588235294</v>
      </c>
      <c r="D13" s="116">
        <f t="shared" si="21"/>
        <v>1</v>
      </c>
      <c r="E13" s="59">
        <v>1</v>
      </c>
      <c r="F13" s="116">
        <f t="shared" si="22"/>
        <v>76</v>
      </c>
      <c r="G13" s="116">
        <f t="shared" si="23"/>
        <v>207</v>
      </c>
      <c r="H13" s="116">
        <f t="shared" si="24"/>
        <v>255</v>
      </c>
      <c r="I13" s="117">
        <f t="shared" si="25"/>
        <v>255</v>
      </c>
      <c r="J13" s="70" t="s">
        <v>50</v>
      </c>
      <c r="K13" s="70" t="s">
        <v>51</v>
      </c>
      <c r="L13" s="70" t="s">
        <v>4</v>
      </c>
      <c r="M13" s="171" t="str">
        <f t="shared" si="26"/>
        <v>FF</v>
      </c>
      <c r="N13" s="116">
        <f t="shared" si="27"/>
        <v>76</v>
      </c>
      <c r="O13" s="116">
        <f t="shared" si="28"/>
        <v>207</v>
      </c>
      <c r="P13" s="117">
        <f t="shared" si="29"/>
        <v>255</v>
      </c>
      <c r="Q13" s="118">
        <f t="shared" si="9"/>
        <v>76</v>
      </c>
      <c r="R13" s="118">
        <f t="shared" si="10"/>
        <v>207</v>
      </c>
      <c r="S13" s="172">
        <f t="shared" si="11"/>
        <v>255</v>
      </c>
      <c r="T13" s="173"/>
      <c r="U13" s="174"/>
      <c r="V13" s="175" t="str">
        <f t="shared" si="30"/>
        <v>Text</v>
      </c>
      <c r="W13" s="176" t="str">
        <f t="shared" si="14"/>
        <v>Text</v>
      </c>
      <c r="X13" s="177" t="str">
        <f t="shared" si="15"/>
        <v>Text</v>
      </c>
      <c r="Y13" s="178" t="str">
        <f t="shared" si="16"/>
        <v>Text</v>
      </c>
      <c r="Z13" s="179" t="str">
        <f t="shared" si="17"/>
        <v>Text</v>
      </c>
      <c r="AA13" s="304" t="str">
        <f t="shared" si="18"/>
        <v>Text</v>
      </c>
    </row>
    <row r="14" spans="1:27" x14ac:dyDescent="0.35">
      <c r="A14" s="170" t="s">
        <v>42</v>
      </c>
      <c r="B14" s="116">
        <f t="shared" ref="B14:B26" si="31">F14/255</f>
        <v>0.97647058823529409</v>
      </c>
      <c r="C14" s="116">
        <f t="shared" ref="C14:C26" si="32">G14/255</f>
        <v>0.97647058823529409</v>
      </c>
      <c r="D14" s="116">
        <f t="shared" ref="D14:D26" si="33">H14/255</f>
        <v>0.97647058823529409</v>
      </c>
      <c r="E14" s="59">
        <v>1</v>
      </c>
      <c r="F14" s="116">
        <f t="shared" ref="F14:F26" si="34">HEX2DEC(J14)</f>
        <v>249</v>
      </c>
      <c r="G14" s="116">
        <f t="shared" ref="G14:G26" si="35">HEX2DEC(K14)</f>
        <v>249</v>
      </c>
      <c r="H14" s="116">
        <f t="shared" ref="H14:H26" si="36">HEX2DEC(L14)</f>
        <v>249</v>
      </c>
      <c r="I14" s="117">
        <f t="shared" ref="I14:I26" si="37">ROUND(E14*255,0)</f>
        <v>255</v>
      </c>
      <c r="J14" s="70" t="s">
        <v>73</v>
      </c>
      <c r="K14" s="70" t="s">
        <v>73</v>
      </c>
      <c r="L14" s="70" t="s">
        <v>73</v>
      </c>
      <c r="M14" s="171" t="str">
        <f t="shared" ref="M14:M26" si="38">DEC2HEX(I14,2)</f>
        <v>FF</v>
      </c>
      <c r="N14" s="116">
        <f t="shared" si="27"/>
        <v>249</v>
      </c>
      <c r="O14" s="116">
        <f t="shared" si="28"/>
        <v>249</v>
      </c>
      <c r="P14" s="117">
        <f t="shared" si="29"/>
        <v>249</v>
      </c>
      <c r="Q14" s="118">
        <f t="shared" si="9"/>
        <v>249</v>
      </c>
      <c r="R14" s="118">
        <f t="shared" si="10"/>
        <v>249</v>
      </c>
      <c r="S14" s="172">
        <f t="shared" si="11"/>
        <v>249</v>
      </c>
      <c r="T14" s="264"/>
      <c r="U14" s="265"/>
      <c r="V14" s="266" t="str">
        <f t="shared" si="30"/>
        <v>Text</v>
      </c>
      <c r="W14" s="267" t="str">
        <f t="shared" si="14"/>
        <v>Text</v>
      </c>
      <c r="X14" s="268" t="str">
        <f t="shared" si="15"/>
        <v>Text</v>
      </c>
      <c r="Y14" s="269" t="str">
        <f t="shared" si="16"/>
        <v>Text</v>
      </c>
      <c r="Z14" s="296" t="str">
        <f t="shared" si="17"/>
        <v>Text</v>
      </c>
      <c r="AA14" s="309" t="str">
        <f t="shared" si="18"/>
        <v>Text</v>
      </c>
    </row>
    <row r="15" spans="1:27" x14ac:dyDescent="0.35">
      <c r="A15" s="170" t="s">
        <v>43</v>
      </c>
      <c r="B15" s="116">
        <f t="shared" si="31"/>
        <v>0.7803921568627451</v>
      </c>
      <c r="C15" s="116">
        <f t="shared" si="32"/>
        <v>0.7803921568627451</v>
      </c>
      <c r="D15" s="116">
        <f t="shared" si="33"/>
        <v>0.7803921568627451</v>
      </c>
      <c r="E15" s="59">
        <v>1</v>
      </c>
      <c r="F15" s="116">
        <f t="shared" si="34"/>
        <v>199</v>
      </c>
      <c r="G15" s="116">
        <f t="shared" si="35"/>
        <v>199</v>
      </c>
      <c r="H15" s="116">
        <f t="shared" si="36"/>
        <v>199</v>
      </c>
      <c r="I15" s="117">
        <f t="shared" si="37"/>
        <v>255</v>
      </c>
      <c r="J15" s="70" t="s">
        <v>58</v>
      </c>
      <c r="K15" s="70" t="s">
        <v>58</v>
      </c>
      <c r="L15" s="70" t="s">
        <v>58</v>
      </c>
      <c r="M15" s="171" t="str">
        <f t="shared" si="38"/>
        <v>FF</v>
      </c>
      <c r="N15" s="116">
        <f t="shared" si="27"/>
        <v>199</v>
      </c>
      <c r="O15" s="116">
        <f t="shared" si="28"/>
        <v>199</v>
      </c>
      <c r="P15" s="117">
        <f t="shared" si="29"/>
        <v>199</v>
      </c>
      <c r="Q15" s="118">
        <f t="shared" si="9"/>
        <v>199</v>
      </c>
      <c r="R15" s="118">
        <f t="shared" si="10"/>
        <v>199</v>
      </c>
      <c r="S15" s="172">
        <f t="shared" si="11"/>
        <v>199</v>
      </c>
      <c r="T15" s="195"/>
      <c r="U15" s="196"/>
      <c r="V15" s="197" t="str">
        <f t="shared" si="30"/>
        <v>Text</v>
      </c>
      <c r="W15" s="198" t="str">
        <f t="shared" si="14"/>
        <v>Text</v>
      </c>
      <c r="X15" s="199" t="str">
        <f t="shared" si="15"/>
        <v>Text</v>
      </c>
      <c r="Y15" s="200" t="str">
        <f t="shared" si="16"/>
        <v>Text</v>
      </c>
      <c r="Z15" s="201" t="str">
        <f t="shared" si="17"/>
        <v>Text</v>
      </c>
      <c r="AA15" s="306" t="str">
        <f t="shared" si="18"/>
        <v>Text</v>
      </c>
    </row>
    <row r="16" spans="1:27" x14ac:dyDescent="0.35">
      <c r="A16" s="170" t="s">
        <v>44</v>
      </c>
      <c r="B16" s="116">
        <f t="shared" si="31"/>
        <v>0.81960784313725488</v>
      </c>
      <c r="C16" s="116">
        <f t="shared" si="32"/>
        <v>0.81960784313725488</v>
      </c>
      <c r="D16" s="116">
        <f t="shared" si="33"/>
        <v>0.81960784313725488</v>
      </c>
      <c r="E16" s="59">
        <v>1</v>
      </c>
      <c r="F16" s="116">
        <f t="shared" si="34"/>
        <v>209</v>
      </c>
      <c r="G16" s="116">
        <f t="shared" si="35"/>
        <v>209</v>
      </c>
      <c r="H16" s="116">
        <f t="shared" si="36"/>
        <v>209</v>
      </c>
      <c r="I16" s="117">
        <f t="shared" si="37"/>
        <v>255</v>
      </c>
      <c r="J16" s="70" t="s">
        <v>59</v>
      </c>
      <c r="K16" s="70" t="s">
        <v>59</v>
      </c>
      <c r="L16" s="70" t="s">
        <v>59</v>
      </c>
      <c r="M16" s="171" t="str">
        <f t="shared" si="38"/>
        <v>FF</v>
      </c>
      <c r="N16" s="116">
        <f t="shared" si="27"/>
        <v>209</v>
      </c>
      <c r="O16" s="116">
        <f t="shared" si="28"/>
        <v>209</v>
      </c>
      <c r="P16" s="117">
        <f t="shared" si="29"/>
        <v>209</v>
      </c>
      <c r="Q16" s="118">
        <f t="shared" si="9"/>
        <v>209</v>
      </c>
      <c r="R16" s="118">
        <f t="shared" si="10"/>
        <v>209</v>
      </c>
      <c r="S16" s="172">
        <f t="shared" si="11"/>
        <v>209</v>
      </c>
      <c r="T16" s="217"/>
      <c r="U16" s="218"/>
      <c r="V16" s="219" t="str">
        <f t="shared" si="30"/>
        <v>Text</v>
      </c>
      <c r="W16" s="220" t="str">
        <f t="shared" si="14"/>
        <v>Text</v>
      </c>
      <c r="X16" s="221" t="str">
        <f t="shared" si="15"/>
        <v>Text</v>
      </c>
      <c r="Y16" s="222" t="str">
        <f t="shared" si="16"/>
        <v>Text</v>
      </c>
      <c r="Z16" s="223" t="str">
        <f t="shared" si="17"/>
        <v>Text</v>
      </c>
      <c r="AA16" s="310" t="str">
        <f t="shared" si="18"/>
        <v>Text</v>
      </c>
    </row>
    <row r="17" spans="1:27" x14ac:dyDescent="0.35">
      <c r="A17" s="170" t="s">
        <v>40</v>
      </c>
      <c r="B17" s="116">
        <f t="shared" si="31"/>
        <v>0</v>
      </c>
      <c r="C17" s="116">
        <f t="shared" si="32"/>
        <v>0.18823529411764706</v>
      </c>
      <c r="D17" s="116">
        <f t="shared" si="33"/>
        <v>0.2627450980392157</v>
      </c>
      <c r="E17" s="59">
        <v>1</v>
      </c>
      <c r="F17" s="116">
        <f t="shared" si="34"/>
        <v>0</v>
      </c>
      <c r="G17" s="116">
        <f t="shared" si="35"/>
        <v>48</v>
      </c>
      <c r="H17" s="116">
        <f t="shared" si="36"/>
        <v>67</v>
      </c>
      <c r="I17" s="117">
        <f t="shared" si="37"/>
        <v>255</v>
      </c>
      <c r="J17" s="70" t="s">
        <v>5</v>
      </c>
      <c r="K17" s="70" t="s">
        <v>74</v>
      </c>
      <c r="L17" s="70" t="s">
        <v>79</v>
      </c>
      <c r="M17" s="171" t="str">
        <f t="shared" si="38"/>
        <v>FF</v>
      </c>
      <c r="N17" s="116">
        <f t="shared" si="27"/>
        <v>0</v>
      </c>
      <c r="O17" s="116">
        <f t="shared" si="28"/>
        <v>48</v>
      </c>
      <c r="P17" s="117">
        <f t="shared" si="29"/>
        <v>67</v>
      </c>
      <c r="Q17" s="118">
        <f t="shared" si="9"/>
        <v>0</v>
      </c>
      <c r="R17" s="118">
        <f t="shared" si="10"/>
        <v>48</v>
      </c>
      <c r="S17" s="172">
        <f t="shared" si="11"/>
        <v>67</v>
      </c>
      <c r="T17" s="180"/>
      <c r="U17" s="293"/>
      <c r="V17" s="181" t="str">
        <f t="shared" si="30"/>
        <v>Text</v>
      </c>
      <c r="W17" s="294" t="str">
        <f t="shared" si="14"/>
        <v>Text</v>
      </c>
      <c r="X17" s="182" t="str">
        <f t="shared" si="15"/>
        <v>Text</v>
      </c>
      <c r="Y17" s="295" t="str">
        <f t="shared" si="16"/>
        <v>Text</v>
      </c>
      <c r="Z17" s="183" t="str">
        <f t="shared" si="17"/>
        <v>Text</v>
      </c>
      <c r="AA17" s="311" t="str">
        <f t="shared" si="18"/>
        <v>Text</v>
      </c>
    </row>
    <row r="18" spans="1:27" x14ac:dyDescent="0.35">
      <c r="A18" s="170" t="s">
        <v>41</v>
      </c>
      <c r="B18" s="116">
        <f t="shared" si="31"/>
        <v>0</v>
      </c>
      <c r="C18" s="116">
        <f t="shared" si="32"/>
        <v>0.30196078431372547</v>
      </c>
      <c r="D18" s="116">
        <f t="shared" si="33"/>
        <v>0.42352941176470588</v>
      </c>
      <c r="E18" s="59">
        <v>1</v>
      </c>
      <c r="F18" s="116">
        <f t="shared" si="34"/>
        <v>0</v>
      </c>
      <c r="G18" s="116">
        <f t="shared" si="35"/>
        <v>77</v>
      </c>
      <c r="H18" s="116">
        <f t="shared" si="36"/>
        <v>108</v>
      </c>
      <c r="I18" s="117">
        <f t="shared" si="37"/>
        <v>255</v>
      </c>
      <c r="J18" s="70" t="s">
        <v>5</v>
      </c>
      <c r="K18" s="70" t="s">
        <v>77</v>
      </c>
      <c r="L18" s="70" t="s">
        <v>78</v>
      </c>
      <c r="M18" s="171" t="str">
        <f t="shared" si="38"/>
        <v>FF</v>
      </c>
      <c r="N18" s="116">
        <f t="shared" si="27"/>
        <v>0</v>
      </c>
      <c r="O18" s="116">
        <f t="shared" si="28"/>
        <v>77</v>
      </c>
      <c r="P18" s="117">
        <f t="shared" si="29"/>
        <v>108</v>
      </c>
      <c r="Q18" s="118">
        <f t="shared" si="9"/>
        <v>0</v>
      </c>
      <c r="R18" s="118">
        <f t="shared" si="10"/>
        <v>77</v>
      </c>
      <c r="S18" s="172">
        <f t="shared" si="11"/>
        <v>108</v>
      </c>
      <c r="T18" s="279"/>
      <c r="U18" s="280"/>
      <c r="V18" s="281" t="str">
        <f t="shared" si="30"/>
        <v>Text</v>
      </c>
      <c r="W18" s="282" t="str">
        <f t="shared" si="14"/>
        <v>Text</v>
      </c>
      <c r="X18" s="283" t="str">
        <f t="shared" si="15"/>
        <v>Text</v>
      </c>
      <c r="Y18" s="284" t="str">
        <f t="shared" si="16"/>
        <v>Text</v>
      </c>
      <c r="Z18" s="297" t="str">
        <f t="shared" si="17"/>
        <v>Text</v>
      </c>
      <c r="AA18" s="312" t="str">
        <f t="shared" si="18"/>
        <v>Text</v>
      </c>
    </row>
    <row r="19" spans="1:27" x14ac:dyDescent="0.35">
      <c r="A19" s="170" t="s">
        <v>61</v>
      </c>
      <c r="B19" s="116">
        <f t="shared" si="31"/>
        <v>1</v>
      </c>
      <c r="C19" s="116">
        <f t="shared" si="32"/>
        <v>1</v>
      </c>
      <c r="D19" s="116">
        <f t="shared" si="33"/>
        <v>1</v>
      </c>
      <c r="E19" s="59">
        <v>1</v>
      </c>
      <c r="F19" s="116">
        <f t="shared" si="34"/>
        <v>255</v>
      </c>
      <c r="G19" s="116">
        <f t="shared" si="35"/>
        <v>255</v>
      </c>
      <c r="H19" s="116">
        <f t="shared" si="36"/>
        <v>255</v>
      </c>
      <c r="I19" s="117">
        <f t="shared" si="37"/>
        <v>255</v>
      </c>
      <c r="J19" s="70" t="s">
        <v>4</v>
      </c>
      <c r="K19" s="70" t="s">
        <v>4</v>
      </c>
      <c r="L19" s="70" t="s">
        <v>4</v>
      </c>
      <c r="M19" s="171" t="str">
        <f t="shared" si="38"/>
        <v>FF</v>
      </c>
      <c r="N19" s="116">
        <f t="shared" si="27"/>
        <v>255</v>
      </c>
      <c r="O19" s="116">
        <f t="shared" si="28"/>
        <v>255</v>
      </c>
      <c r="P19" s="117">
        <f t="shared" si="29"/>
        <v>255</v>
      </c>
      <c r="Q19" s="118">
        <f t="shared" si="9"/>
        <v>255</v>
      </c>
      <c r="R19" s="118">
        <f t="shared" si="10"/>
        <v>255</v>
      </c>
      <c r="S19" s="172">
        <f t="shared" si="11"/>
        <v>255</v>
      </c>
      <c r="T19" s="188"/>
      <c r="U19" s="189"/>
      <c r="V19" s="190" t="str">
        <f t="shared" si="30"/>
        <v>Text</v>
      </c>
      <c r="W19" s="191" t="str">
        <f t="shared" si="14"/>
        <v>Text</v>
      </c>
      <c r="X19" s="192" t="str">
        <f t="shared" si="15"/>
        <v>Text</v>
      </c>
      <c r="Y19" s="193" t="str">
        <f t="shared" si="16"/>
        <v>Text</v>
      </c>
      <c r="Z19" s="194" t="str">
        <f t="shared" si="17"/>
        <v>Text</v>
      </c>
      <c r="AA19" s="305" t="str">
        <f t="shared" si="18"/>
        <v>Text</v>
      </c>
    </row>
    <row r="20" spans="1:27" x14ac:dyDescent="0.35">
      <c r="A20" s="170" t="s">
        <v>110</v>
      </c>
      <c r="B20" s="116">
        <f t="shared" ref="B20" si="39">F20/255</f>
        <v>0.50196078431372548</v>
      </c>
      <c r="C20" s="116">
        <f t="shared" ref="C20" si="40">G20/255</f>
        <v>0.50196078431372548</v>
      </c>
      <c r="D20" s="116">
        <f t="shared" ref="D20" si="41">H20/255</f>
        <v>0.50196078431372548</v>
      </c>
      <c r="E20" s="59">
        <v>1</v>
      </c>
      <c r="F20" s="116">
        <f t="shared" ref="F20" si="42">HEX2DEC(J20)</f>
        <v>128</v>
      </c>
      <c r="G20" s="116">
        <f t="shared" ref="G20" si="43">HEX2DEC(K20)</f>
        <v>128</v>
      </c>
      <c r="H20" s="116">
        <f t="shared" ref="H20" si="44">HEX2DEC(L20)</f>
        <v>128</v>
      </c>
      <c r="I20" s="117">
        <f t="shared" ref="I20" si="45">ROUND(E20*255,0)</f>
        <v>255</v>
      </c>
      <c r="J20" s="70" t="s">
        <v>111</v>
      </c>
      <c r="K20" s="70" t="s">
        <v>111</v>
      </c>
      <c r="L20" s="70" t="s">
        <v>111</v>
      </c>
      <c r="M20" s="171" t="str">
        <f t="shared" si="38"/>
        <v>FF</v>
      </c>
      <c r="N20" s="116">
        <f t="shared" ref="N20" si="46">ROUND((B20*$E20+N$1/255*(1-$E20))*255,0)</f>
        <v>128</v>
      </c>
      <c r="O20" s="116">
        <f t="shared" ref="O20" si="47">ROUND((C20*$E20+O$1/255*(1-$E20))*255,0)</f>
        <v>128</v>
      </c>
      <c r="P20" s="117">
        <f t="shared" ref="P20" si="48">ROUND((D20*$E20+P$1/255*(1-$E20))*255,0)</f>
        <v>128</v>
      </c>
      <c r="Q20" s="118">
        <f t="shared" ref="Q20" si="49">ROUND((B20^gamma*$E20+(Q$1/255)^gamma*(1-$E20))^(1/gamma)*255,0)</f>
        <v>128</v>
      </c>
      <c r="R20" s="118">
        <f t="shared" ref="R20" si="50">ROUND((C20^gamma*$E20+(R$1/255)^gamma*(1-$E20))^(1/gamma)*255,0)</f>
        <v>128</v>
      </c>
      <c r="S20" s="172">
        <f t="shared" ref="S20" si="51">ROUND((D20^gamma*$E20+(S$1/255)^gamma*(1-$E20))^(1/gamma)*255,0)</f>
        <v>128</v>
      </c>
      <c r="T20" s="460"/>
      <c r="U20" s="461"/>
      <c r="V20" s="462" t="str">
        <f t="shared" si="30"/>
        <v>Text</v>
      </c>
      <c r="W20" s="463" t="str">
        <f t="shared" si="14"/>
        <v>Text</v>
      </c>
      <c r="X20" s="464" t="str">
        <f t="shared" si="15"/>
        <v>Text</v>
      </c>
      <c r="Y20" s="465" t="str">
        <f t="shared" si="16"/>
        <v>Text</v>
      </c>
      <c r="Z20" s="466" t="str">
        <f t="shared" si="17"/>
        <v>Text</v>
      </c>
      <c r="AA20" s="467" t="str">
        <f t="shared" si="18"/>
        <v>Text</v>
      </c>
    </row>
    <row r="21" spans="1:27" x14ac:dyDescent="0.35">
      <c r="A21" s="170" t="s">
        <v>62</v>
      </c>
      <c r="B21" s="116">
        <f t="shared" si="31"/>
        <v>0.29803921568627451</v>
      </c>
      <c r="C21" s="116">
        <f t="shared" si="32"/>
        <v>0.81176470588235294</v>
      </c>
      <c r="D21" s="116">
        <f t="shared" si="33"/>
        <v>1</v>
      </c>
      <c r="E21" s="59">
        <v>1</v>
      </c>
      <c r="F21" s="116">
        <f t="shared" si="34"/>
        <v>76</v>
      </c>
      <c r="G21" s="116">
        <f t="shared" si="35"/>
        <v>207</v>
      </c>
      <c r="H21" s="116">
        <f t="shared" si="36"/>
        <v>255</v>
      </c>
      <c r="I21" s="117">
        <f t="shared" si="37"/>
        <v>255</v>
      </c>
      <c r="J21" s="70" t="s">
        <v>50</v>
      </c>
      <c r="K21" s="70" t="s">
        <v>51</v>
      </c>
      <c r="L21" s="70" t="s">
        <v>4</v>
      </c>
      <c r="M21" s="171" t="str">
        <f t="shared" si="38"/>
        <v>FF</v>
      </c>
      <c r="N21" s="116">
        <f t="shared" si="27"/>
        <v>76</v>
      </c>
      <c r="O21" s="116">
        <f t="shared" si="28"/>
        <v>207</v>
      </c>
      <c r="P21" s="117">
        <f t="shared" si="29"/>
        <v>255</v>
      </c>
      <c r="Q21" s="118">
        <f t="shared" si="9"/>
        <v>76</v>
      </c>
      <c r="R21" s="118">
        <f t="shared" si="10"/>
        <v>207</v>
      </c>
      <c r="S21" s="172">
        <f t="shared" si="11"/>
        <v>255</v>
      </c>
      <c r="T21" s="173"/>
      <c r="U21" s="174"/>
      <c r="V21" s="175" t="str">
        <f t="shared" si="30"/>
        <v>Text</v>
      </c>
      <c r="W21" s="176" t="str">
        <f t="shared" si="14"/>
        <v>Text</v>
      </c>
      <c r="X21" s="177" t="str">
        <f t="shared" si="15"/>
        <v>Text</v>
      </c>
      <c r="Y21" s="178" t="str">
        <f t="shared" si="16"/>
        <v>Text</v>
      </c>
      <c r="Z21" s="179" t="str">
        <f t="shared" si="17"/>
        <v>Text</v>
      </c>
      <c r="AA21" s="304" t="str">
        <f t="shared" si="18"/>
        <v>Text</v>
      </c>
    </row>
    <row r="22" spans="1:27" x14ac:dyDescent="0.35">
      <c r="A22" s="170" t="s">
        <v>63</v>
      </c>
      <c r="B22" s="116">
        <f t="shared" si="31"/>
        <v>0.2196078431372549</v>
      </c>
      <c r="C22" s="116">
        <f t="shared" si="32"/>
        <v>0.8784313725490196</v>
      </c>
      <c r="D22" s="116">
        <f t="shared" si="33"/>
        <v>0</v>
      </c>
      <c r="E22" s="59">
        <v>1</v>
      </c>
      <c r="F22" s="116">
        <f t="shared" si="34"/>
        <v>56</v>
      </c>
      <c r="G22" s="116">
        <f t="shared" si="35"/>
        <v>224</v>
      </c>
      <c r="H22" s="116">
        <f t="shared" si="36"/>
        <v>0</v>
      </c>
      <c r="I22" s="117">
        <f t="shared" si="37"/>
        <v>255</v>
      </c>
      <c r="J22" s="70" t="s">
        <v>69</v>
      </c>
      <c r="K22" s="70" t="s">
        <v>70</v>
      </c>
      <c r="L22" s="70" t="s">
        <v>5</v>
      </c>
      <c r="M22" s="171" t="str">
        <f t="shared" si="38"/>
        <v>FF</v>
      </c>
      <c r="N22" s="116">
        <f t="shared" si="27"/>
        <v>56</v>
      </c>
      <c r="O22" s="116">
        <f t="shared" si="28"/>
        <v>224</v>
      </c>
      <c r="P22" s="117">
        <f t="shared" si="29"/>
        <v>0</v>
      </c>
      <c r="Q22" s="118">
        <f t="shared" si="9"/>
        <v>56</v>
      </c>
      <c r="R22" s="118">
        <f t="shared" si="10"/>
        <v>224</v>
      </c>
      <c r="S22" s="172">
        <f t="shared" si="11"/>
        <v>0</v>
      </c>
      <c r="T22" s="252"/>
      <c r="U22" s="253"/>
      <c r="V22" s="254" t="str">
        <f t="shared" si="30"/>
        <v>Text</v>
      </c>
      <c r="W22" s="255" t="str">
        <f t="shared" si="14"/>
        <v>Text</v>
      </c>
      <c r="X22" s="256" t="str">
        <f t="shared" si="15"/>
        <v>Text</v>
      </c>
      <c r="Y22" s="257" t="str">
        <f t="shared" si="16"/>
        <v>Text</v>
      </c>
      <c r="Z22" s="299" t="str">
        <f t="shared" si="17"/>
        <v>Text</v>
      </c>
      <c r="AA22" s="314" t="str">
        <f t="shared" si="18"/>
        <v>Text</v>
      </c>
    </row>
    <row r="23" spans="1:27" x14ac:dyDescent="0.35">
      <c r="A23" s="170" t="s">
        <v>64</v>
      </c>
      <c r="B23" s="116">
        <f t="shared" si="31"/>
        <v>0.93333333333333335</v>
      </c>
      <c r="C23" s="116">
        <f t="shared" si="32"/>
        <v>0.8</v>
      </c>
      <c r="D23" s="116">
        <f t="shared" si="33"/>
        <v>0</v>
      </c>
      <c r="E23" s="59">
        <v>1</v>
      </c>
      <c r="F23" s="116">
        <f t="shared" si="34"/>
        <v>238</v>
      </c>
      <c r="G23" s="116">
        <f t="shared" si="35"/>
        <v>204</v>
      </c>
      <c r="H23" s="116">
        <f t="shared" si="36"/>
        <v>0</v>
      </c>
      <c r="I23" s="117">
        <f t="shared" si="37"/>
        <v>255</v>
      </c>
      <c r="J23" s="70" t="s">
        <v>80</v>
      </c>
      <c r="K23" s="70" t="s">
        <v>53</v>
      </c>
      <c r="L23" s="70" t="s">
        <v>5</v>
      </c>
      <c r="M23" s="171" t="str">
        <f t="shared" si="38"/>
        <v>FF</v>
      </c>
      <c r="N23" s="116">
        <f t="shared" si="27"/>
        <v>238</v>
      </c>
      <c r="O23" s="116">
        <f t="shared" si="28"/>
        <v>204</v>
      </c>
      <c r="P23" s="117">
        <f t="shared" si="29"/>
        <v>0</v>
      </c>
      <c r="Q23" s="118">
        <f t="shared" si="9"/>
        <v>238</v>
      </c>
      <c r="R23" s="118">
        <f t="shared" si="10"/>
        <v>204</v>
      </c>
      <c r="S23" s="172">
        <f t="shared" si="11"/>
        <v>0</v>
      </c>
      <c r="T23" s="224"/>
      <c r="U23" s="225"/>
      <c r="V23" s="226" t="str">
        <f t="shared" si="30"/>
        <v>Text</v>
      </c>
      <c r="W23" s="227" t="str">
        <f t="shared" si="14"/>
        <v>Text</v>
      </c>
      <c r="X23" s="228" t="str">
        <f t="shared" si="15"/>
        <v>Text</v>
      </c>
      <c r="Y23" s="229" t="str">
        <f t="shared" si="16"/>
        <v>Text</v>
      </c>
      <c r="Z23" s="230" t="str">
        <f t="shared" si="17"/>
        <v>Text</v>
      </c>
      <c r="AA23" s="320" t="str">
        <f t="shared" si="18"/>
        <v>Text</v>
      </c>
    </row>
    <row r="24" spans="1:27" x14ac:dyDescent="0.35">
      <c r="A24" s="202" t="s">
        <v>65</v>
      </c>
      <c r="B24" s="146">
        <f t="shared" si="31"/>
        <v>1</v>
      </c>
      <c r="C24" s="146">
        <f t="shared" si="32"/>
        <v>0.21568627450980393</v>
      </c>
      <c r="D24" s="146">
        <f t="shared" si="33"/>
        <v>5.8823529411764705E-2</v>
      </c>
      <c r="E24" s="64">
        <v>1</v>
      </c>
      <c r="F24" s="146">
        <f t="shared" si="34"/>
        <v>255</v>
      </c>
      <c r="G24" s="146">
        <f t="shared" si="35"/>
        <v>55</v>
      </c>
      <c r="H24" s="146">
        <f t="shared" si="36"/>
        <v>15</v>
      </c>
      <c r="I24" s="147">
        <f t="shared" si="37"/>
        <v>255</v>
      </c>
      <c r="J24" s="152" t="s">
        <v>4</v>
      </c>
      <c r="K24" s="152" t="s">
        <v>71</v>
      </c>
      <c r="L24" s="152" t="s">
        <v>72</v>
      </c>
      <c r="M24" s="203" t="str">
        <f t="shared" si="38"/>
        <v>FF</v>
      </c>
      <c r="N24" s="146">
        <f t="shared" si="27"/>
        <v>255</v>
      </c>
      <c r="O24" s="146">
        <f t="shared" si="28"/>
        <v>55</v>
      </c>
      <c r="P24" s="147">
        <f t="shared" si="29"/>
        <v>15</v>
      </c>
      <c r="Q24" s="134">
        <f t="shared" si="9"/>
        <v>255</v>
      </c>
      <c r="R24" s="134">
        <f t="shared" si="10"/>
        <v>55</v>
      </c>
      <c r="S24" s="204">
        <f t="shared" si="11"/>
        <v>15</v>
      </c>
      <c r="T24" s="258"/>
      <c r="U24" s="259"/>
      <c r="V24" s="260" t="str">
        <f t="shared" si="30"/>
        <v>Text</v>
      </c>
      <c r="W24" s="261" t="str">
        <f t="shared" si="14"/>
        <v>Text</v>
      </c>
      <c r="X24" s="262" t="str">
        <f t="shared" si="15"/>
        <v>Text</v>
      </c>
      <c r="Y24" s="263" t="str">
        <f t="shared" si="16"/>
        <v>Text</v>
      </c>
      <c r="Z24" s="301" t="str">
        <f t="shared" si="17"/>
        <v>Text</v>
      </c>
      <c r="AA24" s="316" t="str">
        <f t="shared" si="18"/>
        <v>Text</v>
      </c>
    </row>
    <row r="25" spans="1:27" x14ac:dyDescent="0.35">
      <c r="A25" s="170" t="s">
        <v>96</v>
      </c>
      <c r="B25" s="116">
        <f t="shared" si="31"/>
        <v>0.29803921568627451</v>
      </c>
      <c r="C25" s="116">
        <f t="shared" si="32"/>
        <v>0.81176470588235294</v>
      </c>
      <c r="D25" s="116">
        <f t="shared" si="33"/>
        <v>1</v>
      </c>
      <c r="E25" s="59">
        <v>1</v>
      </c>
      <c r="F25" s="116">
        <f t="shared" si="34"/>
        <v>76</v>
      </c>
      <c r="G25" s="116">
        <f t="shared" si="35"/>
        <v>207</v>
      </c>
      <c r="H25" s="116">
        <f t="shared" si="36"/>
        <v>255</v>
      </c>
      <c r="I25" s="117">
        <f t="shared" si="37"/>
        <v>255</v>
      </c>
      <c r="J25" s="70" t="s">
        <v>50</v>
      </c>
      <c r="K25" s="70" t="s">
        <v>51</v>
      </c>
      <c r="L25" s="70" t="s">
        <v>4</v>
      </c>
      <c r="M25" s="117" t="str">
        <f t="shared" si="38"/>
        <v>FF</v>
      </c>
      <c r="N25" s="116">
        <f t="shared" si="27"/>
        <v>76</v>
      </c>
      <c r="O25" s="116">
        <f t="shared" si="28"/>
        <v>207</v>
      </c>
      <c r="P25" s="117">
        <f t="shared" si="29"/>
        <v>255</v>
      </c>
      <c r="Q25" s="118">
        <f t="shared" si="9"/>
        <v>76</v>
      </c>
      <c r="R25" s="118">
        <f t="shared" si="10"/>
        <v>207</v>
      </c>
      <c r="S25" s="172">
        <f t="shared" si="11"/>
        <v>255</v>
      </c>
      <c r="T25" s="173"/>
      <c r="U25" s="174"/>
      <c r="V25" s="175" t="str">
        <f t="shared" si="30"/>
        <v>Text</v>
      </c>
      <c r="W25" s="176" t="str">
        <f t="shared" si="14"/>
        <v>Text</v>
      </c>
      <c r="X25" s="177" t="str">
        <f t="shared" si="15"/>
        <v>Text</v>
      </c>
      <c r="Y25" s="178" t="str">
        <f t="shared" si="16"/>
        <v>Text</v>
      </c>
      <c r="Z25" s="179" t="str">
        <f t="shared" si="17"/>
        <v>Text</v>
      </c>
      <c r="AA25" s="304" t="str">
        <f t="shared" si="18"/>
        <v>Text</v>
      </c>
    </row>
    <row r="26" spans="1:27" x14ac:dyDescent="0.35">
      <c r="A26" s="170" t="s">
        <v>97</v>
      </c>
      <c r="B26" s="116">
        <f t="shared" si="31"/>
        <v>0.38039215686274508</v>
      </c>
      <c r="C26" s="116">
        <f t="shared" si="32"/>
        <v>0.34901960784313724</v>
      </c>
      <c r="D26" s="116">
        <f t="shared" si="33"/>
        <v>0.94901960784313721</v>
      </c>
      <c r="E26" s="59">
        <v>1</v>
      </c>
      <c r="F26" s="116">
        <f t="shared" si="34"/>
        <v>97</v>
      </c>
      <c r="G26" s="116">
        <f t="shared" si="35"/>
        <v>89</v>
      </c>
      <c r="H26" s="116">
        <f t="shared" si="36"/>
        <v>242</v>
      </c>
      <c r="I26" s="117">
        <f t="shared" si="37"/>
        <v>255</v>
      </c>
      <c r="J26" s="70" t="s">
        <v>66</v>
      </c>
      <c r="K26" s="70" t="s">
        <v>67</v>
      </c>
      <c r="L26" s="70" t="s">
        <v>68</v>
      </c>
      <c r="M26" s="117" t="str">
        <f t="shared" si="38"/>
        <v>FF</v>
      </c>
      <c r="N26" s="116">
        <f t="shared" si="27"/>
        <v>97</v>
      </c>
      <c r="O26" s="116">
        <f t="shared" si="28"/>
        <v>89</v>
      </c>
      <c r="P26" s="117">
        <f t="shared" si="29"/>
        <v>242</v>
      </c>
      <c r="Q26" s="118">
        <f t="shared" si="9"/>
        <v>97</v>
      </c>
      <c r="R26" s="118">
        <f t="shared" si="10"/>
        <v>89</v>
      </c>
      <c r="S26" s="172">
        <f t="shared" si="11"/>
        <v>242</v>
      </c>
      <c r="T26" s="246"/>
      <c r="U26" s="247"/>
      <c r="V26" s="248" t="str">
        <f t="shared" si="30"/>
        <v>Text</v>
      </c>
      <c r="W26" s="249" t="str">
        <f t="shared" si="14"/>
        <v>Text</v>
      </c>
      <c r="X26" s="250" t="str">
        <f t="shared" si="15"/>
        <v>Text</v>
      </c>
      <c r="Y26" s="251" t="str">
        <f t="shared" si="16"/>
        <v>Text</v>
      </c>
      <c r="Z26" s="298" t="str">
        <f t="shared" si="17"/>
        <v>Text</v>
      </c>
      <c r="AA26" s="313" t="str">
        <f t="shared" si="18"/>
        <v>Text</v>
      </c>
    </row>
    <row r="27" spans="1:27" x14ac:dyDescent="0.35">
      <c r="A27" s="394" t="s">
        <v>89</v>
      </c>
      <c r="B27" s="116">
        <f t="shared" ref="B27" si="52">F27/255</f>
        <v>0.2196078431372549</v>
      </c>
      <c r="C27" s="116">
        <f>G27/255</f>
        <v>0.8784313725490196</v>
      </c>
      <c r="D27" s="116">
        <f>H27/255</f>
        <v>0</v>
      </c>
      <c r="E27" s="59">
        <v>1</v>
      </c>
      <c r="F27" s="116">
        <f t="shared" ref="F27:H27" si="53">HEX2DEC(J27)</f>
        <v>56</v>
      </c>
      <c r="G27" s="116">
        <f t="shared" si="53"/>
        <v>224</v>
      </c>
      <c r="H27" s="116">
        <f t="shared" si="53"/>
        <v>0</v>
      </c>
      <c r="I27" s="117">
        <f>ROUND(E27*255,0)</f>
        <v>255</v>
      </c>
      <c r="J27" s="70" t="s">
        <v>69</v>
      </c>
      <c r="K27" s="70" t="s">
        <v>70</v>
      </c>
      <c r="L27" s="70" t="s">
        <v>5</v>
      </c>
      <c r="M27" s="117" t="str">
        <f>DEC2HEX(I27,2)</f>
        <v>FF</v>
      </c>
      <c r="N27" s="116">
        <f t="shared" ref="N27:P27" si="54">ROUND((B27*$E27+N$1/255*(1-$E27))*255,0)</f>
        <v>56</v>
      </c>
      <c r="O27" s="116">
        <f t="shared" si="54"/>
        <v>224</v>
      </c>
      <c r="P27" s="117">
        <f t="shared" si="54"/>
        <v>0</v>
      </c>
      <c r="Q27" s="118">
        <f t="shared" ref="Q27:S27" si="55">ROUND((B27^gamma*$E27+(Q$1/255)^gamma*(1-$E27))^(1/gamma)*255,0)</f>
        <v>56</v>
      </c>
      <c r="R27" s="118">
        <f t="shared" si="55"/>
        <v>224</v>
      </c>
      <c r="S27" s="172">
        <f t="shared" si="55"/>
        <v>0</v>
      </c>
      <c r="T27" s="252"/>
      <c r="U27" s="253"/>
      <c r="V27" s="254" t="str">
        <f t="shared" si="30"/>
        <v>Text</v>
      </c>
      <c r="W27" s="255" t="str">
        <f t="shared" si="14"/>
        <v>Text</v>
      </c>
      <c r="X27" s="256" t="str">
        <f t="shared" si="15"/>
        <v>Text</v>
      </c>
      <c r="Y27" s="257" t="str">
        <f t="shared" si="16"/>
        <v>Text</v>
      </c>
      <c r="Z27" s="299" t="str">
        <f t="shared" si="17"/>
        <v>Text</v>
      </c>
      <c r="AA27" s="314" t="str">
        <f t="shared" si="18"/>
        <v>Text</v>
      </c>
    </row>
    <row r="28" spans="1:27" x14ac:dyDescent="0.35">
      <c r="A28" s="394" t="s">
        <v>90</v>
      </c>
      <c r="B28" s="116">
        <f t="shared" ref="B28:B39" si="56">F28/255</f>
        <v>0.33725490196078434</v>
      </c>
      <c r="C28" s="116">
        <f t="shared" ref="C28:C39" si="57">G28/255</f>
        <v>0.82745098039215681</v>
      </c>
      <c r="D28" s="116">
        <f t="shared" ref="D28:D39" si="58">H28/255</f>
        <v>0.18823529411764706</v>
      </c>
      <c r="E28" s="59">
        <v>1</v>
      </c>
      <c r="F28" s="116">
        <f t="shared" ref="F28:F39" si="59">HEX2DEC(J28)</f>
        <v>86</v>
      </c>
      <c r="G28" s="116">
        <f t="shared" ref="G28:G39" si="60">HEX2DEC(K28)</f>
        <v>211</v>
      </c>
      <c r="H28" s="116">
        <f t="shared" ref="H28:H39" si="61">HEX2DEC(L28)</f>
        <v>48</v>
      </c>
      <c r="I28" s="117">
        <f t="shared" ref="I28:I39" si="62">ROUND(E28*255,0)</f>
        <v>255</v>
      </c>
      <c r="J28" s="70" t="s">
        <v>91</v>
      </c>
      <c r="K28" s="70" t="s">
        <v>92</v>
      </c>
      <c r="L28" s="70" t="s">
        <v>74</v>
      </c>
      <c r="M28" s="117" t="str">
        <f t="shared" ref="M28:M39" si="63">DEC2HEX(I28,2)</f>
        <v>FF</v>
      </c>
      <c r="N28" s="116">
        <f t="shared" ref="N28:N39" si="64">ROUND((B28*$E28+N$1/255*(1-$E28))*255,0)</f>
        <v>86</v>
      </c>
      <c r="O28" s="116">
        <f t="shared" ref="O28:O39" si="65">ROUND((C28*$E28+O$1/255*(1-$E28))*255,0)</f>
        <v>211</v>
      </c>
      <c r="P28" s="117">
        <f t="shared" ref="P28:P39" si="66">ROUND((D28*$E28+P$1/255*(1-$E28))*255,0)</f>
        <v>48</v>
      </c>
      <c r="Q28" s="118">
        <f t="shared" ref="Q28:Q39" si="67">ROUND((B28^gamma*$E28+(Q$1/255)^gamma*(1-$E28))^(1/gamma)*255,0)</f>
        <v>86</v>
      </c>
      <c r="R28" s="118">
        <f t="shared" ref="R28:R39" si="68">ROUND((C28^gamma*$E28+(R$1/255)^gamma*(1-$E28))^(1/gamma)*255,0)</f>
        <v>211</v>
      </c>
      <c r="S28" s="172">
        <f t="shared" ref="S28:S39" si="69">ROUND((D28^gamma*$E28+(S$1/255)^gamma*(1-$E28))^(1/gamma)*255,0)</f>
        <v>48</v>
      </c>
      <c r="T28" s="404"/>
      <c r="U28" s="405"/>
      <c r="V28" s="406" t="str">
        <f t="shared" si="30"/>
        <v>Text</v>
      </c>
      <c r="W28" s="407" t="str">
        <f t="shared" si="14"/>
        <v>Text</v>
      </c>
      <c r="X28" s="408" t="str">
        <f t="shared" si="15"/>
        <v>Text</v>
      </c>
      <c r="Y28" s="409" t="str">
        <f t="shared" si="16"/>
        <v>Text</v>
      </c>
      <c r="Z28" s="410" t="str">
        <f t="shared" si="17"/>
        <v>Text</v>
      </c>
      <c r="AA28" s="411" t="str">
        <f t="shared" si="18"/>
        <v>Text</v>
      </c>
    </row>
    <row r="29" spans="1:27" x14ac:dyDescent="0.35">
      <c r="A29" s="394" t="s">
        <v>93</v>
      </c>
      <c r="B29" s="116">
        <f t="shared" ref="B29" si="70">F29/255</f>
        <v>6.2745098039215685E-2</v>
      </c>
      <c r="C29" s="116">
        <f t="shared" ref="C29" si="71">G29/255</f>
        <v>0.8666666666666667</v>
      </c>
      <c r="D29" s="116">
        <f t="shared" ref="D29" si="72">H29/255</f>
        <v>6.2745098039215685E-2</v>
      </c>
      <c r="E29" s="59">
        <v>1</v>
      </c>
      <c r="F29" s="116">
        <f t="shared" ref="F29" si="73">HEX2DEC(J29)</f>
        <v>16</v>
      </c>
      <c r="G29" s="116">
        <f t="shared" ref="G29" si="74">HEX2DEC(K29)</f>
        <v>221</v>
      </c>
      <c r="H29" s="116">
        <f t="shared" ref="H29" si="75">HEX2DEC(L29)</f>
        <v>16</v>
      </c>
      <c r="I29" s="117">
        <f t="shared" ref="I29" si="76">ROUND(E29*255,0)</f>
        <v>255</v>
      </c>
      <c r="J29" s="70" t="s">
        <v>94</v>
      </c>
      <c r="K29" s="70" t="s">
        <v>95</v>
      </c>
      <c r="L29" s="70" t="s">
        <v>94</v>
      </c>
      <c r="M29" s="117" t="str">
        <f t="shared" ref="M29" si="77">DEC2HEX(I29,2)</f>
        <v>FF</v>
      </c>
      <c r="N29" s="116">
        <f t="shared" ref="N29" si="78">ROUND((B29*$E29+N$1/255*(1-$E29))*255,0)</f>
        <v>16</v>
      </c>
      <c r="O29" s="116">
        <f t="shared" ref="O29" si="79">ROUND((C29*$E29+O$1/255*(1-$E29))*255,0)</f>
        <v>221</v>
      </c>
      <c r="P29" s="117">
        <f t="shared" ref="P29" si="80">ROUND((D29*$E29+P$1/255*(1-$E29))*255,0)</f>
        <v>16</v>
      </c>
      <c r="Q29" s="118">
        <f t="shared" ref="Q29" si="81">ROUND((B29^gamma*$E29+(Q$1/255)^gamma*(1-$E29))^(1/gamma)*255,0)</f>
        <v>16</v>
      </c>
      <c r="R29" s="118">
        <f t="shared" ref="R29" si="82">ROUND((C29^gamma*$E29+(R$1/255)^gamma*(1-$E29))^(1/gamma)*255,0)</f>
        <v>221</v>
      </c>
      <c r="S29" s="172">
        <f t="shared" ref="S29" si="83">ROUND((D29^gamma*$E29+(S$1/255)^gamma*(1-$E29))^(1/gamma)*255,0)</f>
        <v>16</v>
      </c>
      <c r="T29" s="412"/>
      <c r="U29" s="413"/>
      <c r="V29" s="414" t="str">
        <f t="shared" si="30"/>
        <v>Text</v>
      </c>
      <c r="W29" s="415" t="str">
        <f t="shared" si="14"/>
        <v>Text</v>
      </c>
      <c r="X29" s="416" t="str">
        <f t="shared" si="15"/>
        <v>Text</v>
      </c>
      <c r="Y29" s="417" t="str">
        <f t="shared" si="16"/>
        <v>Text</v>
      </c>
      <c r="Z29" s="418" t="str">
        <f t="shared" si="17"/>
        <v>Text</v>
      </c>
      <c r="AA29" s="419" t="str">
        <f t="shared" si="18"/>
        <v>Text</v>
      </c>
    </row>
    <row r="30" spans="1:27" x14ac:dyDescent="0.35">
      <c r="A30" s="394" t="s">
        <v>86</v>
      </c>
      <c r="B30" s="116">
        <f t="shared" si="56"/>
        <v>0.91764705882352937</v>
      </c>
      <c r="C30" s="116">
        <f t="shared" si="57"/>
        <v>0.6</v>
      </c>
      <c r="D30" s="116">
        <f t="shared" si="58"/>
        <v>9.0196078431372548E-2</v>
      </c>
      <c r="E30" s="59">
        <v>1</v>
      </c>
      <c r="F30" s="116">
        <f t="shared" si="59"/>
        <v>234</v>
      </c>
      <c r="G30" s="116">
        <f t="shared" si="60"/>
        <v>153</v>
      </c>
      <c r="H30" s="116">
        <f t="shared" si="61"/>
        <v>23</v>
      </c>
      <c r="I30" s="117">
        <f t="shared" si="62"/>
        <v>255</v>
      </c>
      <c r="J30" s="70" t="s">
        <v>83</v>
      </c>
      <c r="K30" s="70" t="s">
        <v>84</v>
      </c>
      <c r="L30" s="70" t="s">
        <v>85</v>
      </c>
      <c r="M30" s="117" t="str">
        <f t="shared" si="63"/>
        <v>FF</v>
      </c>
      <c r="N30" s="116">
        <f t="shared" si="64"/>
        <v>234</v>
      </c>
      <c r="O30" s="116">
        <f t="shared" si="65"/>
        <v>153</v>
      </c>
      <c r="P30" s="117">
        <f t="shared" si="66"/>
        <v>23</v>
      </c>
      <c r="Q30" s="118">
        <f t="shared" si="67"/>
        <v>234</v>
      </c>
      <c r="R30" s="118">
        <f t="shared" si="68"/>
        <v>153</v>
      </c>
      <c r="S30" s="172">
        <f t="shared" si="69"/>
        <v>23</v>
      </c>
      <c r="T30" s="396"/>
      <c r="U30" s="397"/>
      <c r="V30" s="398" t="str">
        <f t="shared" si="30"/>
        <v>Text</v>
      </c>
      <c r="W30" s="399" t="str">
        <f t="shared" si="14"/>
        <v>Text</v>
      </c>
      <c r="X30" s="400" t="str">
        <f t="shared" si="15"/>
        <v>Text</v>
      </c>
      <c r="Y30" s="401" t="str">
        <f t="shared" si="16"/>
        <v>Text</v>
      </c>
      <c r="Z30" s="402" t="str">
        <f t="shared" si="17"/>
        <v>Text</v>
      </c>
      <c r="AA30" s="403" t="str">
        <f t="shared" si="18"/>
        <v>Text</v>
      </c>
    </row>
    <row r="31" spans="1:27" x14ac:dyDescent="0.35">
      <c r="A31" s="394" t="s">
        <v>87</v>
      </c>
      <c r="B31" s="116">
        <f t="shared" si="56"/>
        <v>1</v>
      </c>
      <c r="C31" s="116">
        <f t="shared" si="57"/>
        <v>0.68235294117647061</v>
      </c>
      <c r="D31" s="116">
        <f t="shared" si="58"/>
        <v>4.7058823529411764E-2</v>
      </c>
      <c r="E31" s="59">
        <v>1</v>
      </c>
      <c r="F31" s="116">
        <f t="shared" si="59"/>
        <v>255</v>
      </c>
      <c r="G31" s="116">
        <f t="shared" si="60"/>
        <v>174</v>
      </c>
      <c r="H31" s="116">
        <f t="shared" si="61"/>
        <v>12</v>
      </c>
      <c r="I31" s="117">
        <f t="shared" si="62"/>
        <v>255</v>
      </c>
      <c r="J31" s="70" t="s">
        <v>4</v>
      </c>
      <c r="K31" s="70" t="s">
        <v>75</v>
      </c>
      <c r="L31" s="70" t="s">
        <v>76</v>
      </c>
      <c r="M31" s="117" t="str">
        <f t="shared" si="63"/>
        <v>FF</v>
      </c>
      <c r="N31" s="116">
        <f t="shared" si="64"/>
        <v>255</v>
      </c>
      <c r="O31" s="116">
        <f t="shared" si="65"/>
        <v>174</v>
      </c>
      <c r="P31" s="117">
        <f t="shared" si="66"/>
        <v>12</v>
      </c>
      <c r="Q31" s="118">
        <f t="shared" si="67"/>
        <v>255</v>
      </c>
      <c r="R31" s="118">
        <f t="shared" si="68"/>
        <v>174</v>
      </c>
      <c r="S31" s="172">
        <f t="shared" si="69"/>
        <v>12</v>
      </c>
      <c r="T31" s="270"/>
      <c r="U31" s="271"/>
      <c r="V31" s="272" t="str">
        <f t="shared" si="30"/>
        <v>Text</v>
      </c>
      <c r="W31" s="273" t="str">
        <f t="shared" si="14"/>
        <v>Text</v>
      </c>
      <c r="X31" s="274" t="str">
        <f t="shared" si="15"/>
        <v>Text</v>
      </c>
      <c r="Y31" s="275" t="str">
        <f t="shared" si="16"/>
        <v>Text</v>
      </c>
      <c r="Z31" s="300" t="str">
        <f t="shared" si="17"/>
        <v>Text</v>
      </c>
      <c r="AA31" s="315" t="str">
        <f t="shared" si="18"/>
        <v>Text</v>
      </c>
    </row>
    <row r="32" spans="1:27" x14ac:dyDescent="0.35">
      <c r="A32" s="394" t="s">
        <v>88</v>
      </c>
      <c r="B32" s="116">
        <f t="shared" si="56"/>
        <v>0.93333333333333335</v>
      </c>
      <c r="C32" s="116">
        <f t="shared" si="57"/>
        <v>0.8</v>
      </c>
      <c r="D32" s="116">
        <f t="shared" si="58"/>
        <v>0</v>
      </c>
      <c r="E32" s="59">
        <v>1</v>
      </c>
      <c r="F32" s="116">
        <f t="shared" si="59"/>
        <v>238</v>
      </c>
      <c r="G32" s="116">
        <f t="shared" si="60"/>
        <v>204</v>
      </c>
      <c r="H32" s="116">
        <f t="shared" si="61"/>
        <v>0</v>
      </c>
      <c r="I32" s="117">
        <f t="shared" si="62"/>
        <v>255</v>
      </c>
      <c r="J32" s="70" t="s">
        <v>80</v>
      </c>
      <c r="K32" s="70" t="s">
        <v>53</v>
      </c>
      <c r="L32" s="70" t="s">
        <v>5</v>
      </c>
      <c r="M32" s="117" t="str">
        <f t="shared" si="63"/>
        <v>FF</v>
      </c>
      <c r="N32" s="116">
        <f t="shared" si="64"/>
        <v>238</v>
      </c>
      <c r="O32" s="116">
        <f t="shared" si="65"/>
        <v>204</v>
      </c>
      <c r="P32" s="117">
        <f t="shared" si="66"/>
        <v>0</v>
      </c>
      <c r="Q32" s="118">
        <f t="shared" si="67"/>
        <v>238</v>
      </c>
      <c r="R32" s="118">
        <f t="shared" si="68"/>
        <v>204</v>
      </c>
      <c r="S32" s="172">
        <f t="shared" si="69"/>
        <v>0</v>
      </c>
      <c r="T32" s="224"/>
      <c r="U32" s="225"/>
      <c r="V32" s="226" t="str">
        <f t="shared" si="30"/>
        <v>Text</v>
      </c>
      <c r="W32" s="227" t="str">
        <f t="shared" si="14"/>
        <v>Text</v>
      </c>
      <c r="X32" s="228" t="str">
        <f t="shared" si="15"/>
        <v>Text</v>
      </c>
      <c r="Y32" s="229" t="str">
        <f t="shared" si="16"/>
        <v>Text</v>
      </c>
      <c r="Z32" s="230" t="str">
        <f t="shared" si="17"/>
        <v>Text</v>
      </c>
      <c r="AA32" s="320" t="str">
        <f t="shared" si="18"/>
        <v>Text</v>
      </c>
    </row>
    <row r="33" spans="1:27" x14ac:dyDescent="0.35">
      <c r="A33" s="394" t="s">
        <v>98</v>
      </c>
      <c r="B33" s="116">
        <f t="shared" ref="B33:B36" si="84">F33/255</f>
        <v>1</v>
      </c>
      <c r="C33" s="116">
        <f t="shared" ref="C33:C36" si="85">G33/255</f>
        <v>0.21568627450980393</v>
      </c>
      <c r="D33" s="116">
        <f t="shared" ref="D33:D36" si="86">H33/255</f>
        <v>5.8823529411764705E-2</v>
      </c>
      <c r="E33" s="59">
        <v>1</v>
      </c>
      <c r="F33" s="116">
        <f t="shared" ref="F33:F36" si="87">HEX2DEC(J33)</f>
        <v>255</v>
      </c>
      <c r="G33" s="116">
        <f t="shared" ref="G33:G36" si="88">HEX2DEC(K33)</f>
        <v>55</v>
      </c>
      <c r="H33" s="116">
        <f t="shared" ref="H33:H36" si="89">HEX2DEC(L33)</f>
        <v>15</v>
      </c>
      <c r="I33" s="117">
        <f t="shared" ref="I33:I36" si="90">ROUND(E33*255,0)</f>
        <v>255</v>
      </c>
      <c r="J33" s="70" t="s">
        <v>4</v>
      </c>
      <c r="K33" s="70" t="s">
        <v>71</v>
      </c>
      <c r="L33" s="70" t="s">
        <v>72</v>
      </c>
      <c r="M33" s="117" t="str">
        <f t="shared" ref="M33:M36" si="91">DEC2HEX(I33,2)</f>
        <v>FF</v>
      </c>
      <c r="N33" s="116">
        <f t="shared" ref="N33:N36" si="92">ROUND((B33*$E33+N$1/255*(1-$E33))*255,0)</f>
        <v>255</v>
      </c>
      <c r="O33" s="116">
        <f t="shared" ref="O33:O36" si="93">ROUND((C33*$E33+O$1/255*(1-$E33))*255,0)</f>
        <v>55</v>
      </c>
      <c r="P33" s="117">
        <f t="shared" ref="P33:P36" si="94">ROUND((D33*$E33+P$1/255*(1-$E33))*255,0)</f>
        <v>15</v>
      </c>
      <c r="Q33" s="118">
        <f t="shared" ref="Q33:Q36" si="95">ROUND((B33^gamma*$E33+(Q$1/255)^gamma*(1-$E33))^(1/gamma)*255,0)</f>
        <v>255</v>
      </c>
      <c r="R33" s="118">
        <f t="shared" ref="R33:R36" si="96">ROUND((C33^gamma*$E33+(R$1/255)^gamma*(1-$E33))^(1/gamma)*255,0)</f>
        <v>55</v>
      </c>
      <c r="S33" s="172">
        <f t="shared" ref="S33:S36" si="97">ROUND((D33^gamma*$E33+(S$1/255)^gamma*(1-$E33))^(1/gamma)*255,0)</f>
        <v>15</v>
      </c>
      <c r="T33" s="420"/>
      <c r="U33" s="421"/>
      <c r="V33" s="422" t="str">
        <f t="shared" si="30"/>
        <v>Text</v>
      </c>
      <c r="W33" s="423" t="str">
        <f t="shared" si="14"/>
        <v>Text</v>
      </c>
      <c r="X33" s="424" t="str">
        <f t="shared" si="15"/>
        <v>Text</v>
      </c>
      <c r="Y33" s="425" t="str">
        <f t="shared" si="16"/>
        <v>Text</v>
      </c>
      <c r="Z33" s="426" t="str">
        <f t="shared" si="17"/>
        <v>Text</v>
      </c>
      <c r="AA33" s="427" t="str">
        <f t="shared" si="18"/>
        <v>Text</v>
      </c>
    </row>
    <row r="34" spans="1:27" x14ac:dyDescent="0.35">
      <c r="A34" s="394" t="s">
        <v>101</v>
      </c>
      <c r="B34" s="116">
        <f t="shared" si="84"/>
        <v>0.97647058823529409</v>
      </c>
      <c r="C34" s="116">
        <f t="shared" si="85"/>
        <v>0.27843137254901962</v>
      </c>
      <c r="D34" s="116">
        <f t="shared" si="86"/>
        <v>0.24313725490196078</v>
      </c>
      <c r="E34" s="59">
        <v>1</v>
      </c>
      <c r="F34" s="116">
        <f t="shared" si="87"/>
        <v>249</v>
      </c>
      <c r="G34" s="116">
        <f t="shared" si="88"/>
        <v>71</v>
      </c>
      <c r="H34" s="116">
        <f t="shared" si="89"/>
        <v>62</v>
      </c>
      <c r="I34" s="117">
        <f t="shared" si="90"/>
        <v>255</v>
      </c>
      <c r="J34" s="70" t="s">
        <v>73</v>
      </c>
      <c r="K34" s="70" t="s">
        <v>99</v>
      </c>
      <c r="L34" s="70" t="s">
        <v>100</v>
      </c>
      <c r="M34" s="117" t="str">
        <f t="shared" si="91"/>
        <v>FF</v>
      </c>
      <c r="N34" s="116">
        <f t="shared" si="92"/>
        <v>249</v>
      </c>
      <c r="O34" s="116">
        <f t="shared" si="93"/>
        <v>71</v>
      </c>
      <c r="P34" s="117">
        <f t="shared" si="94"/>
        <v>62</v>
      </c>
      <c r="Q34" s="118">
        <f t="shared" si="95"/>
        <v>249</v>
      </c>
      <c r="R34" s="118">
        <f t="shared" si="96"/>
        <v>71</v>
      </c>
      <c r="S34" s="172">
        <f t="shared" si="97"/>
        <v>62</v>
      </c>
      <c r="T34" s="428"/>
      <c r="U34" s="429"/>
      <c r="V34" s="430" t="str">
        <f t="shared" si="30"/>
        <v>Text</v>
      </c>
      <c r="W34" s="431" t="str">
        <f t="shared" si="14"/>
        <v>Text</v>
      </c>
      <c r="X34" s="432" t="str">
        <f t="shared" si="15"/>
        <v>Text</v>
      </c>
      <c r="Y34" s="433" t="str">
        <f t="shared" si="16"/>
        <v>Text</v>
      </c>
      <c r="Z34" s="434" t="str">
        <f t="shared" si="17"/>
        <v>Text</v>
      </c>
      <c r="AA34" s="435" t="str">
        <f t="shared" si="18"/>
        <v>Text</v>
      </c>
    </row>
    <row r="35" spans="1:27" x14ac:dyDescent="0.35">
      <c r="A35" s="394" t="s">
        <v>102</v>
      </c>
      <c r="B35" s="116">
        <f t="shared" si="84"/>
        <v>1</v>
      </c>
      <c r="C35" s="116">
        <f t="shared" si="85"/>
        <v>0.19607843137254902</v>
      </c>
      <c r="D35" s="116">
        <f t="shared" si="86"/>
        <v>0.13725490196078433</v>
      </c>
      <c r="E35" s="59">
        <v>1</v>
      </c>
      <c r="F35" s="116">
        <f t="shared" si="87"/>
        <v>255</v>
      </c>
      <c r="G35" s="116">
        <f t="shared" si="88"/>
        <v>50</v>
      </c>
      <c r="H35" s="116">
        <f t="shared" si="89"/>
        <v>35</v>
      </c>
      <c r="I35" s="117">
        <f t="shared" si="90"/>
        <v>255</v>
      </c>
      <c r="J35" s="70" t="s">
        <v>4</v>
      </c>
      <c r="K35" s="70" t="s">
        <v>104</v>
      </c>
      <c r="L35" s="70" t="s">
        <v>105</v>
      </c>
      <c r="M35" s="117" t="str">
        <f t="shared" si="91"/>
        <v>FF</v>
      </c>
      <c r="N35" s="116">
        <f t="shared" si="92"/>
        <v>255</v>
      </c>
      <c r="O35" s="116">
        <f t="shared" si="93"/>
        <v>50</v>
      </c>
      <c r="P35" s="117">
        <f t="shared" si="94"/>
        <v>35</v>
      </c>
      <c r="Q35" s="118">
        <f t="shared" si="95"/>
        <v>255</v>
      </c>
      <c r="R35" s="118">
        <f t="shared" si="96"/>
        <v>50</v>
      </c>
      <c r="S35" s="172">
        <f t="shared" si="97"/>
        <v>35</v>
      </c>
      <c r="T35" s="436"/>
      <c r="U35" s="437"/>
      <c r="V35" s="438" t="str">
        <f t="shared" si="30"/>
        <v>Text</v>
      </c>
      <c r="W35" s="439" t="str">
        <f t="shared" si="14"/>
        <v>Text</v>
      </c>
      <c r="X35" s="440" t="str">
        <f t="shared" si="15"/>
        <v>Text</v>
      </c>
      <c r="Y35" s="441" t="str">
        <f t="shared" si="16"/>
        <v>Text</v>
      </c>
      <c r="Z35" s="442" t="str">
        <f t="shared" si="17"/>
        <v>Text</v>
      </c>
      <c r="AA35" s="443" t="str">
        <f t="shared" si="18"/>
        <v>Text</v>
      </c>
    </row>
    <row r="36" spans="1:27" x14ac:dyDescent="0.35">
      <c r="A36" s="394" t="s">
        <v>103</v>
      </c>
      <c r="B36" s="116">
        <f t="shared" si="84"/>
        <v>0.8</v>
      </c>
      <c r="C36" s="116">
        <f t="shared" si="85"/>
        <v>5.0980392156862744E-2</v>
      </c>
      <c r="D36" s="116">
        <f t="shared" si="86"/>
        <v>0</v>
      </c>
      <c r="E36" s="59">
        <v>1</v>
      </c>
      <c r="F36" s="116">
        <f t="shared" si="87"/>
        <v>204</v>
      </c>
      <c r="G36" s="116">
        <f t="shared" si="88"/>
        <v>13</v>
      </c>
      <c r="H36" s="116">
        <f t="shared" si="89"/>
        <v>0</v>
      </c>
      <c r="I36" s="117">
        <f t="shared" si="90"/>
        <v>255</v>
      </c>
      <c r="J36" s="70" t="s">
        <v>53</v>
      </c>
      <c r="K36" s="70" t="s">
        <v>106</v>
      </c>
      <c r="L36" s="70" t="s">
        <v>5</v>
      </c>
      <c r="M36" s="117" t="str">
        <f t="shared" si="91"/>
        <v>FF</v>
      </c>
      <c r="N36" s="116">
        <f t="shared" si="92"/>
        <v>204</v>
      </c>
      <c r="O36" s="116">
        <f t="shared" si="93"/>
        <v>13</v>
      </c>
      <c r="P36" s="117">
        <f t="shared" si="94"/>
        <v>0</v>
      </c>
      <c r="Q36" s="118">
        <f t="shared" si="95"/>
        <v>204</v>
      </c>
      <c r="R36" s="118">
        <f t="shared" si="96"/>
        <v>13</v>
      </c>
      <c r="S36" s="172">
        <f t="shared" si="97"/>
        <v>0</v>
      </c>
      <c r="T36" s="444"/>
      <c r="U36" s="445"/>
      <c r="V36" s="446" t="str">
        <f t="shared" si="30"/>
        <v>Text</v>
      </c>
      <c r="W36" s="447" t="str">
        <f t="shared" si="14"/>
        <v>Text</v>
      </c>
      <c r="X36" s="448" t="str">
        <f t="shared" si="15"/>
        <v>Text</v>
      </c>
      <c r="Y36" s="449" t="str">
        <f t="shared" si="16"/>
        <v>Text</v>
      </c>
      <c r="Z36" s="450" t="str">
        <f t="shared" si="17"/>
        <v>Text</v>
      </c>
      <c r="AA36" s="451" t="str">
        <f t="shared" si="18"/>
        <v>Text</v>
      </c>
    </row>
    <row r="37" spans="1:27" x14ac:dyDescent="0.35">
      <c r="A37" s="394" t="s">
        <v>108</v>
      </c>
      <c r="B37" s="116">
        <f t="shared" ref="B37" si="98">F37/255</f>
        <v>1</v>
      </c>
      <c r="C37" s="116">
        <f t="shared" ref="C37" si="99">G37/255</f>
        <v>0.12549019607843137</v>
      </c>
      <c r="D37" s="116">
        <f t="shared" ref="D37" si="100">H37/255</f>
        <v>0.12549019607843137</v>
      </c>
      <c r="E37" s="59">
        <v>1</v>
      </c>
      <c r="F37" s="116">
        <f t="shared" ref="F37" si="101">HEX2DEC(J37)</f>
        <v>255</v>
      </c>
      <c r="G37" s="116">
        <f t="shared" ref="G37" si="102">HEX2DEC(K37)</f>
        <v>32</v>
      </c>
      <c r="H37" s="116">
        <f t="shared" ref="H37" si="103">HEX2DEC(L37)</f>
        <v>32</v>
      </c>
      <c r="I37" s="117">
        <f t="shared" ref="I37" si="104">ROUND(E37*255,0)</f>
        <v>255</v>
      </c>
      <c r="J37" s="70" t="s">
        <v>4</v>
      </c>
      <c r="K37" s="70" t="s">
        <v>107</v>
      </c>
      <c r="L37" s="70" t="s">
        <v>107</v>
      </c>
      <c r="M37" s="117" t="str">
        <f t="shared" ref="M37" si="105">DEC2HEX(I37,2)</f>
        <v>FF</v>
      </c>
      <c r="N37" s="116">
        <f t="shared" ref="N37" si="106">ROUND((B37*$E37+N$1/255*(1-$E37))*255,0)</f>
        <v>255</v>
      </c>
      <c r="O37" s="116">
        <f t="shared" ref="O37" si="107">ROUND((C37*$E37+O$1/255*(1-$E37))*255,0)</f>
        <v>32</v>
      </c>
      <c r="P37" s="117">
        <f t="shared" ref="P37" si="108">ROUND((D37*$E37+P$1/255*(1-$E37))*255,0)</f>
        <v>32</v>
      </c>
      <c r="Q37" s="118">
        <f t="shared" ref="Q37" si="109">ROUND((B37^gamma*$E37+(Q$1/255)^gamma*(1-$E37))^(1/gamma)*255,0)</f>
        <v>255</v>
      </c>
      <c r="R37" s="118">
        <f t="shared" ref="R37" si="110">ROUND((C37^gamma*$E37+(R$1/255)^gamma*(1-$E37))^(1/gamma)*255,0)</f>
        <v>32</v>
      </c>
      <c r="S37" s="172">
        <f t="shared" ref="S37" si="111">ROUND((D37^gamma*$E37+(S$1/255)^gamma*(1-$E37))^(1/gamma)*255,0)</f>
        <v>32</v>
      </c>
      <c r="T37" s="452"/>
      <c r="U37" s="453"/>
      <c r="V37" s="454" t="str">
        <f t="shared" si="30"/>
        <v>Text</v>
      </c>
      <c r="W37" s="455" t="str">
        <f t="shared" si="14"/>
        <v>Text</v>
      </c>
      <c r="X37" s="456" t="str">
        <f t="shared" si="15"/>
        <v>Text</v>
      </c>
      <c r="Y37" s="457" t="str">
        <f t="shared" si="16"/>
        <v>Text</v>
      </c>
      <c r="Z37" s="458" t="str">
        <f t="shared" si="17"/>
        <v>Text</v>
      </c>
      <c r="AA37" s="459" t="str">
        <f t="shared" si="18"/>
        <v>Text</v>
      </c>
    </row>
    <row r="38" spans="1:27" x14ac:dyDescent="0.35">
      <c r="A38" s="394"/>
      <c r="B38" s="116">
        <f t="shared" si="56"/>
        <v>0</v>
      </c>
      <c r="C38" s="116">
        <f t="shared" si="57"/>
        <v>0</v>
      </c>
      <c r="D38" s="116">
        <f t="shared" si="58"/>
        <v>0</v>
      </c>
      <c r="E38" s="59">
        <v>1</v>
      </c>
      <c r="F38" s="116">
        <f t="shared" si="59"/>
        <v>0</v>
      </c>
      <c r="G38" s="116">
        <f t="shared" si="60"/>
        <v>0</v>
      </c>
      <c r="H38" s="116">
        <f t="shared" si="61"/>
        <v>0</v>
      </c>
      <c r="I38" s="117">
        <f t="shared" si="62"/>
        <v>255</v>
      </c>
      <c r="J38" s="70" t="s">
        <v>5</v>
      </c>
      <c r="K38" s="70" t="s">
        <v>5</v>
      </c>
      <c r="L38" s="70" t="s">
        <v>5</v>
      </c>
      <c r="M38" s="117" t="str">
        <f t="shared" si="63"/>
        <v>FF</v>
      </c>
      <c r="N38" s="116">
        <f t="shared" si="64"/>
        <v>0</v>
      </c>
      <c r="O38" s="116">
        <f t="shared" si="65"/>
        <v>0</v>
      </c>
      <c r="P38" s="117">
        <f t="shared" si="66"/>
        <v>0</v>
      </c>
      <c r="Q38" s="118">
        <f t="shared" si="67"/>
        <v>0</v>
      </c>
      <c r="R38" s="118">
        <f t="shared" si="68"/>
        <v>0</v>
      </c>
      <c r="S38" s="172">
        <f t="shared" si="69"/>
        <v>0</v>
      </c>
      <c r="T38" s="122"/>
      <c r="U38" s="123"/>
      <c r="V38" s="212" t="str">
        <f t="shared" si="30"/>
        <v>Text</v>
      </c>
      <c r="W38" s="213" t="str">
        <f t="shared" si="14"/>
        <v>Text</v>
      </c>
      <c r="X38" s="214" t="str">
        <f t="shared" si="15"/>
        <v>Text</v>
      </c>
      <c r="Y38" s="215" t="str">
        <f t="shared" si="16"/>
        <v>Text</v>
      </c>
      <c r="Z38" s="216" t="str">
        <f t="shared" si="17"/>
        <v>Text</v>
      </c>
      <c r="AA38" s="308" t="str">
        <f t="shared" si="18"/>
        <v>Text</v>
      </c>
    </row>
    <row r="39" spans="1:27" x14ac:dyDescent="0.35">
      <c r="A39" s="394"/>
      <c r="B39" s="116">
        <f t="shared" si="56"/>
        <v>0</v>
      </c>
      <c r="C39" s="116">
        <f t="shared" si="57"/>
        <v>0</v>
      </c>
      <c r="D39" s="116">
        <f t="shared" si="58"/>
        <v>0</v>
      </c>
      <c r="E39" s="59">
        <v>1</v>
      </c>
      <c r="F39" s="116">
        <f t="shared" si="59"/>
        <v>0</v>
      </c>
      <c r="G39" s="116">
        <f t="shared" si="60"/>
        <v>0</v>
      </c>
      <c r="H39" s="116">
        <f t="shared" si="61"/>
        <v>0</v>
      </c>
      <c r="I39" s="117">
        <f t="shared" si="62"/>
        <v>255</v>
      </c>
      <c r="J39" s="70" t="s">
        <v>5</v>
      </c>
      <c r="K39" s="70" t="s">
        <v>5</v>
      </c>
      <c r="L39" s="70" t="s">
        <v>5</v>
      </c>
      <c r="M39" s="117" t="str">
        <f t="shared" si="63"/>
        <v>FF</v>
      </c>
      <c r="N39" s="116">
        <f t="shared" si="64"/>
        <v>0</v>
      </c>
      <c r="O39" s="116">
        <f t="shared" si="65"/>
        <v>0</v>
      </c>
      <c r="P39" s="117">
        <f t="shared" si="66"/>
        <v>0</v>
      </c>
      <c r="Q39" s="118">
        <f t="shared" si="67"/>
        <v>0</v>
      </c>
      <c r="R39" s="118">
        <f t="shared" si="68"/>
        <v>0</v>
      </c>
      <c r="S39" s="172">
        <f t="shared" si="69"/>
        <v>0</v>
      </c>
      <c r="T39" s="122"/>
      <c r="U39" s="123"/>
      <c r="V39" s="212" t="str">
        <f t="shared" si="30"/>
        <v>Text</v>
      </c>
      <c r="W39" s="213" t="str">
        <f t="shared" si="14"/>
        <v>Text</v>
      </c>
      <c r="X39" s="214" t="str">
        <f t="shared" si="15"/>
        <v>Text</v>
      </c>
      <c r="Y39" s="215" t="str">
        <f t="shared" si="16"/>
        <v>Text</v>
      </c>
      <c r="Z39" s="216" t="str">
        <f t="shared" si="17"/>
        <v>Text</v>
      </c>
      <c r="AA39" s="308" t="str">
        <f t="shared" si="18"/>
        <v>Text</v>
      </c>
    </row>
    <row r="40" spans="1:27" x14ac:dyDescent="0.35">
      <c r="A40" s="394"/>
      <c r="B40" s="58">
        <v>0</v>
      </c>
      <c r="C40" s="58">
        <v>0</v>
      </c>
      <c r="D40" s="58">
        <v>0</v>
      </c>
      <c r="E40" s="59">
        <v>1</v>
      </c>
      <c r="F40" s="116">
        <f t="shared" ref="F40:F41" si="112">ROUND(B40*255,0)</f>
        <v>0</v>
      </c>
      <c r="G40" s="116">
        <f t="shared" ref="G40:G41" si="113">ROUND(C40*255,0)</f>
        <v>0</v>
      </c>
      <c r="H40" s="116">
        <f t="shared" ref="H40:H41" si="114">ROUND(D40*255,0)</f>
        <v>0</v>
      </c>
      <c r="I40" s="117">
        <f t="shared" ref="I40:I41" si="115">ROUND(E40*255,0)</f>
        <v>255</v>
      </c>
      <c r="J40" s="116" t="str">
        <f t="shared" ref="J40:J41" si="116">DEC2HEX(F40,2)</f>
        <v>00</v>
      </c>
      <c r="K40" s="116" t="str">
        <f t="shared" ref="K40:M42" si="117">DEC2HEX(G40,2)</f>
        <v>00</v>
      </c>
      <c r="L40" s="116" t="str">
        <f t="shared" ref="L40:L41" si="118">DEC2HEX(H40,2)</f>
        <v>00</v>
      </c>
      <c r="M40" s="117" t="str">
        <f t="shared" ref="M40:M41" si="119">DEC2HEX(I40,2)</f>
        <v>FF</v>
      </c>
      <c r="N40" s="116">
        <f t="shared" ref="N40:N44" si="120">ROUND((B40*$E40+N$1/255*(1-$E40))*255,0)</f>
        <v>0</v>
      </c>
      <c r="O40" s="116">
        <f t="shared" ref="O40:O44" si="121">ROUND((C40*$E40+O$1/255*(1-$E40))*255,0)</f>
        <v>0</v>
      </c>
      <c r="P40" s="117">
        <f t="shared" ref="P40:P44" si="122">ROUND((D40*$E40+P$1/255*(1-$E40))*255,0)</f>
        <v>0</v>
      </c>
      <c r="Q40" s="118">
        <f t="shared" si="9"/>
        <v>0</v>
      </c>
      <c r="R40" s="118">
        <f t="shared" si="10"/>
        <v>0</v>
      </c>
      <c r="S40" s="172">
        <f t="shared" si="11"/>
        <v>0</v>
      </c>
      <c r="T40" s="122"/>
      <c r="U40" s="123"/>
      <c r="V40" s="212" t="str">
        <f t="shared" si="30"/>
        <v>Text</v>
      </c>
      <c r="W40" s="213" t="str">
        <f t="shared" si="14"/>
        <v>Text</v>
      </c>
      <c r="X40" s="214" t="str">
        <f t="shared" si="15"/>
        <v>Text</v>
      </c>
      <c r="Y40" s="215" t="str">
        <f t="shared" si="16"/>
        <v>Text</v>
      </c>
      <c r="Z40" s="216" t="str">
        <f t="shared" si="17"/>
        <v>Text</v>
      </c>
      <c r="AA40" s="308" t="str">
        <f t="shared" si="18"/>
        <v>Text</v>
      </c>
    </row>
    <row r="41" spans="1:27" x14ac:dyDescent="0.35">
      <c r="A41" s="394"/>
      <c r="B41" s="58">
        <v>0</v>
      </c>
      <c r="C41" s="58">
        <v>0</v>
      </c>
      <c r="D41" s="58">
        <v>0</v>
      </c>
      <c r="E41" s="59">
        <v>1</v>
      </c>
      <c r="F41" s="116">
        <f t="shared" si="112"/>
        <v>0</v>
      </c>
      <c r="G41" s="116">
        <f t="shared" si="113"/>
        <v>0</v>
      </c>
      <c r="H41" s="116">
        <f t="shared" si="114"/>
        <v>0</v>
      </c>
      <c r="I41" s="117">
        <f t="shared" si="115"/>
        <v>255</v>
      </c>
      <c r="J41" s="116" t="str">
        <f t="shared" si="116"/>
        <v>00</v>
      </c>
      <c r="K41" s="116" t="str">
        <f t="shared" si="117"/>
        <v>00</v>
      </c>
      <c r="L41" s="116" t="str">
        <f t="shared" si="118"/>
        <v>00</v>
      </c>
      <c r="M41" s="117" t="str">
        <f t="shared" si="119"/>
        <v>FF</v>
      </c>
      <c r="N41" s="116">
        <f t="shared" si="120"/>
        <v>0</v>
      </c>
      <c r="O41" s="116">
        <f t="shared" si="121"/>
        <v>0</v>
      </c>
      <c r="P41" s="117">
        <f t="shared" si="122"/>
        <v>0</v>
      </c>
      <c r="Q41" s="118">
        <f t="shared" si="9"/>
        <v>0</v>
      </c>
      <c r="R41" s="118">
        <f t="shared" si="10"/>
        <v>0</v>
      </c>
      <c r="S41" s="172">
        <f t="shared" si="11"/>
        <v>0</v>
      </c>
      <c r="T41" s="122"/>
      <c r="U41" s="123"/>
      <c r="V41" s="212" t="str">
        <f t="shared" si="30"/>
        <v>Text</v>
      </c>
      <c r="W41" s="213" t="str">
        <f t="shared" si="14"/>
        <v>Text</v>
      </c>
      <c r="X41" s="214" t="str">
        <f t="shared" si="15"/>
        <v>Text</v>
      </c>
      <c r="Y41" s="215" t="str">
        <f t="shared" si="16"/>
        <v>Text</v>
      </c>
      <c r="Z41" s="216" t="str">
        <f t="shared" si="17"/>
        <v>Text</v>
      </c>
      <c r="AA41" s="308" t="str">
        <f t="shared" si="18"/>
        <v>Text</v>
      </c>
    </row>
    <row r="42" spans="1:27" x14ac:dyDescent="0.35">
      <c r="A42" s="394"/>
      <c r="B42" s="116">
        <f>F42/255</f>
        <v>0</v>
      </c>
      <c r="C42" s="116">
        <f t="shared" ref="C42:D42" si="123">G42/255</f>
        <v>0</v>
      </c>
      <c r="D42" s="114">
        <f t="shared" si="123"/>
        <v>0</v>
      </c>
      <c r="E42" s="117">
        <f>I42/255</f>
        <v>1</v>
      </c>
      <c r="F42" s="58">
        <v>0</v>
      </c>
      <c r="G42" s="58">
        <v>0</v>
      </c>
      <c r="H42" s="58">
        <v>0</v>
      </c>
      <c r="I42" s="59">
        <v>255</v>
      </c>
      <c r="J42" s="116" t="str">
        <f>DEC2HEX(F42,2)</f>
        <v>00</v>
      </c>
      <c r="K42" s="116" t="str">
        <f t="shared" si="117"/>
        <v>00</v>
      </c>
      <c r="L42" s="116" t="str">
        <f t="shared" si="117"/>
        <v>00</v>
      </c>
      <c r="M42" s="117" t="str">
        <f t="shared" si="117"/>
        <v>FF</v>
      </c>
      <c r="N42" s="116">
        <f t="shared" si="120"/>
        <v>0</v>
      </c>
      <c r="O42" s="116">
        <f t="shared" si="121"/>
        <v>0</v>
      </c>
      <c r="P42" s="117">
        <f t="shared" si="122"/>
        <v>0</v>
      </c>
      <c r="Q42" s="118">
        <f t="shared" si="9"/>
        <v>0</v>
      </c>
      <c r="R42" s="118">
        <f t="shared" si="10"/>
        <v>0</v>
      </c>
      <c r="S42" s="172">
        <f t="shared" si="11"/>
        <v>0</v>
      </c>
      <c r="T42" s="122"/>
      <c r="U42" s="123"/>
      <c r="V42" s="212" t="str">
        <f t="shared" si="30"/>
        <v>Text</v>
      </c>
      <c r="W42" s="213" t="str">
        <f t="shared" si="14"/>
        <v>Text</v>
      </c>
      <c r="X42" s="214" t="str">
        <f t="shared" si="15"/>
        <v>Text</v>
      </c>
      <c r="Y42" s="215" t="str">
        <f t="shared" si="16"/>
        <v>Text</v>
      </c>
      <c r="Z42" s="216" t="str">
        <f t="shared" si="17"/>
        <v>Text</v>
      </c>
      <c r="AA42" s="308" t="str">
        <f t="shared" si="18"/>
        <v>Text</v>
      </c>
    </row>
    <row r="43" spans="1:27" x14ac:dyDescent="0.35">
      <c r="A43" s="394"/>
      <c r="B43" s="116">
        <f>F43/255</f>
        <v>0</v>
      </c>
      <c r="C43" s="116">
        <f t="shared" ref="C43" si="124">G43/255</f>
        <v>0</v>
      </c>
      <c r="D43" s="114">
        <f t="shared" ref="D43" si="125">H43/255</f>
        <v>0</v>
      </c>
      <c r="E43" s="117">
        <f>I43/255</f>
        <v>1</v>
      </c>
      <c r="F43" s="58">
        <v>0</v>
      </c>
      <c r="G43" s="58">
        <v>0</v>
      </c>
      <c r="H43" s="58">
        <v>0</v>
      </c>
      <c r="I43" s="59">
        <v>255</v>
      </c>
      <c r="J43" s="116" t="str">
        <f>DEC2HEX(F43,2)</f>
        <v>00</v>
      </c>
      <c r="K43" s="116" t="str">
        <f t="shared" ref="K43" si="126">DEC2HEX(G43,2)</f>
        <v>00</v>
      </c>
      <c r="L43" s="116" t="str">
        <f t="shared" ref="L43" si="127">DEC2HEX(H43,2)</f>
        <v>00</v>
      </c>
      <c r="M43" s="117" t="str">
        <f t="shared" ref="M43" si="128">DEC2HEX(I43,2)</f>
        <v>FF</v>
      </c>
      <c r="N43" s="116">
        <f t="shared" si="120"/>
        <v>0</v>
      </c>
      <c r="O43" s="116">
        <f t="shared" si="121"/>
        <v>0</v>
      </c>
      <c r="P43" s="117">
        <f t="shared" si="122"/>
        <v>0</v>
      </c>
      <c r="Q43" s="118">
        <f t="shared" si="9"/>
        <v>0</v>
      </c>
      <c r="R43" s="118">
        <f t="shared" si="10"/>
        <v>0</v>
      </c>
      <c r="S43" s="172">
        <f t="shared" si="11"/>
        <v>0</v>
      </c>
      <c r="T43" s="122"/>
      <c r="U43" s="123"/>
      <c r="V43" s="212" t="str">
        <f t="shared" si="30"/>
        <v>Text</v>
      </c>
      <c r="W43" s="213" t="str">
        <f t="shared" si="14"/>
        <v>Text</v>
      </c>
      <c r="X43" s="214" t="str">
        <f t="shared" si="15"/>
        <v>Text</v>
      </c>
      <c r="Y43" s="215" t="str">
        <f t="shared" si="16"/>
        <v>Text</v>
      </c>
      <c r="Z43" s="216" t="str">
        <f t="shared" si="17"/>
        <v>Text</v>
      </c>
      <c r="AA43" s="308" t="str">
        <f t="shared" si="18"/>
        <v>Text</v>
      </c>
    </row>
    <row r="44" spans="1:27" x14ac:dyDescent="0.35">
      <c r="A44" s="394"/>
      <c r="B44" s="116">
        <f t="shared" ref="B44:D44" si="129">F44/255</f>
        <v>0</v>
      </c>
      <c r="C44" s="116">
        <f t="shared" si="129"/>
        <v>0</v>
      </c>
      <c r="D44" s="116">
        <f t="shared" si="129"/>
        <v>0</v>
      </c>
      <c r="E44" s="117">
        <f>I44/255</f>
        <v>1</v>
      </c>
      <c r="F44" s="116">
        <f t="shared" ref="F44:H44" si="130">HEX2DEC(J44)</f>
        <v>0</v>
      </c>
      <c r="G44" s="116">
        <f t="shared" si="130"/>
        <v>0</v>
      </c>
      <c r="H44" s="116">
        <f t="shared" si="130"/>
        <v>0</v>
      </c>
      <c r="I44" s="117">
        <f>HEX2DEC(M44)</f>
        <v>255</v>
      </c>
      <c r="J44" s="70" t="s">
        <v>5</v>
      </c>
      <c r="K44" s="70" t="s">
        <v>5</v>
      </c>
      <c r="L44" s="70" t="s">
        <v>5</v>
      </c>
      <c r="M44" s="71" t="s">
        <v>4</v>
      </c>
      <c r="N44" s="116">
        <f t="shared" si="120"/>
        <v>0</v>
      </c>
      <c r="O44" s="116">
        <f t="shared" si="121"/>
        <v>0</v>
      </c>
      <c r="P44" s="117">
        <f t="shared" si="122"/>
        <v>0</v>
      </c>
      <c r="Q44" s="118">
        <f t="shared" si="9"/>
        <v>0</v>
      </c>
      <c r="R44" s="118">
        <f t="shared" si="10"/>
        <v>0</v>
      </c>
      <c r="S44" s="172">
        <f t="shared" si="11"/>
        <v>0</v>
      </c>
      <c r="T44" s="122"/>
      <c r="U44" s="123"/>
      <c r="V44" s="212" t="str">
        <f t="shared" si="30"/>
        <v>Text</v>
      </c>
      <c r="W44" s="213" t="str">
        <f t="shared" si="14"/>
        <v>Text</v>
      </c>
      <c r="X44" s="214" t="str">
        <f t="shared" si="15"/>
        <v>Text</v>
      </c>
      <c r="Y44" s="215" t="str">
        <f t="shared" si="16"/>
        <v>Text</v>
      </c>
      <c r="Z44" s="216" t="str">
        <f t="shared" si="17"/>
        <v>Text</v>
      </c>
      <c r="AA44" s="308" t="str">
        <f t="shared" si="18"/>
        <v>Text</v>
      </c>
    </row>
    <row r="45" spans="1:27" x14ac:dyDescent="0.35">
      <c r="A45" s="394"/>
      <c r="B45" s="116">
        <f t="shared" ref="B45" si="131">F45/255</f>
        <v>0</v>
      </c>
      <c r="C45" s="116">
        <f t="shared" ref="C45:C46" si="132">G45/255</f>
        <v>0</v>
      </c>
      <c r="D45" s="116">
        <f t="shared" ref="D45:D46" si="133">H45/255</f>
        <v>0</v>
      </c>
      <c r="E45" s="117">
        <f>I45/255</f>
        <v>1</v>
      </c>
      <c r="F45" s="116">
        <f t="shared" ref="F45" si="134">HEX2DEC(J45)</f>
        <v>0</v>
      </c>
      <c r="G45" s="116">
        <f t="shared" ref="G45" si="135">HEX2DEC(K45)</f>
        <v>0</v>
      </c>
      <c r="H45" s="116">
        <f t="shared" ref="H45" si="136">HEX2DEC(L45)</f>
        <v>0</v>
      </c>
      <c r="I45" s="117">
        <f>HEX2DEC(M45)</f>
        <v>255</v>
      </c>
      <c r="J45" s="70" t="s">
        <v>5</v>
      </c>
      <c r="K45" s="70" t="s">
        <v>5</v>
      </c>
      <c r="L45" s="70" t="s">
        <v>5</v>
      </c>
      <c r="M45" s="71" t="s">
        <v>4</v>
      </c>
      <c r="N45" s="116">
        <f t="shared" ref="N45:N47" si="137">ROUND((B45*$E45+N$1/255*(1-$E45))*255,0)</f>
        <v>0</v>
      </c>
      <c r="O45" s="116">
        <f t="shared" ref="O45:O47" si="138">ROUND((C45*$E45+O$1/255*(1-$E45))*255,0)</f>
        <v>0</v>
      </c>
      <c r="P45" s="117">
        <f t="shared" ref="P45:P47" si="139">ROUND((D45*$E45+P$1/255*(1-$E45))*255,0)</f>
        <v>0</v>
      </c>
      <c r="Q45" s="118">
        <f t="shared" si="9"/>
        <v>0</v>
      </c>
      <c r="R45" s="118">
        <f t="shared" si="10"/>
        <v>0</v>
      </c>
      <c r="S45" s="172">
        <f t="shared" si="11"/>
        <v>0</v>
      </c>
      <c r="T45" s="122"/>
      <c r="U45" s="123"/>
      <c r="V45" s="212" t="str">
        <f t="shared" si="30"/>
        <v>Text</v>
      </c>
      <c r="W45" s="213" t="str">
        <f t="shared" si="14"/>
        <v>Text</v>
      </c>
      <c r="X45" s="214" t="str">
        <f t="shared" si="15"/>
        <v>Text</v>
      </c>
      <c r="Y45" s="215" t="str">
        <f t="shared" si="16"/>
        <v>Text</v>
      </c>
      <c r="Z45" s="216" t="str">
        <f t="shared" si="17"/>
        <v>Text</v>
      </c>
      <c r="AA45" s="308" t="str">
        <f t="shared" si="18"/>
        <v>Text</v>
      </c>
    </row>
    <row r="46" spans="1:27" x14ac:dyDescent="0.35">
      <c r="A46" s="394"/>
      <c r="B46" s="116">
        <f>F46/255</f>
        <v>0</v>
      </c>
      <c r="C46" s="116">
        <f t="shared" si="132"/>
        <v>0</v>
      </c>
      <c r="D46" s="114">
        <f t="shared" si="133"/>
        <v>0</v>
      </c>
      <c r="E46" s="59">
        <v>1</v>
      </c>
      <c r="F46" s="58">
        <v>0</v>
      </c>
      <c r="G46" s="58">
        <v>0</v>
      </c>
      <c r="H46" s="58">
        <v>0</v>
      </c>
      <c r="I46" s="117">
        <f t="shared" ref="I46" si="140">ROUND(E46*255,0)</f>
        <v>255</v>
      </c>
      <c r="J46" s="116" t="str">
        <f>DEC2HEX(F46,2)</f>
        <v>00</v>
      </c>
      <c r="K46" s="116" t="str">
        <f t="shared" ref="K46:M46" si="141">DEC2HEX(G46,2)</f>
        <v>00</v>
      </c>
      <c r="L46" s="116" t="str">
        <f t="shared" si="141"/>
        <v>00</v>
      </c>
      <c r="M46" s="117" t="str">
        <f t="shared" si="141"/>
        <v>FF</v>
      </c>
      <c r="N46" s="116">
        <f t="shared" si="137"/>
        <v>0</v>
      </c>
      <c r="O46" s="116">
        <f t="shared" si="138"/>
        <v>0</v>
      </c>
      <c r="P46" s="117">
        <f t="shared" si="139"/>
        <v>0</v>
      </c>
      <c r="Q46" s="118">
        <f t="shared" si="9"/>
        <v>0</v>
      </c>
      <c r="R46" s="118">
        <f t="shared" si="10"/>
        <v>0</v>
      </c>
      <c r="S46" s="172">
        <f t="shared" si="11"/>
        <v>0</v>
      </c>
      <c r="T46" s="122"/>
      <c r="U46" s="123"/>
      <c r="V46" s="212" t="str">
        <f t="shared" si="30"/>
        <v>Text</v>
      </c>
      <c r="W46" s="213" t="str">
        <f t="shared" si="14"/>
        <v>Text</v>
      </c>
      <c r="X46" s="214" t="str">
        <f t="shared" si="15"/>
        <v>Text</v>
      </c>
      <c r="Y46" s="215" t="str">
        <f t="shared" si="16"/>
        <v>Text</v>
      </c>
      <c r="Z46" s="216" t="str">
        <f t="shared" si="17"/>
        <v>Text</v>
      </c>
      <c r="AA46" s="308" t="str">
        <f t="shared" si="18"/>
        <v>Text</v>
      </c>
    </row>
    <row r="47" spans="1:27" x14ac:dyDescent="0.35">
      <c r="A47" s="395"/>
      <c r="B47" s="146">
        <f>F47/255</f>
        <v>0</v>
      </c>
      <c r="C47" s="146">
        <f t="shared" ref="C47" si="142">G47/255</f>
        <v>0</v>
      </c>
      <c r="D47" s="132">
        <f t="shared" ref="D47" si="143">H47/255</f>
        <v>0</v>
      </c>
      <c r="E47" s="64">
        <v>1</v>
      </c>
      <c r="F47" s="63">
        <v>0</v>
      </c>
      <c r="G47" s="63">
        <v>0</v>
      </c>
      <c r="H47" s="63">
        <v>0</v>
      </c>
      <c r="I47" s="147">
        <f t="shared" ref="I47" si="144">ROUND(E47*255,0)</f>
        <v>255</v>
      </c>
      <c r="J47" s="146" t="str">
        <f>DEC2HEX(F47,2)</f>
        <v>00</v>
      </c>
      <c r="K47" s="146" t="str">
        <f t="shared" ref="K47" si="145">DEC2HEX(G47,2)</f>
        <v>00</v>
      </c>
      <c r="L47" s="146" t="str">
        <f t="shared" ref="L47" si="146">DEC2HEX(H47,2)</f>
        <v>00</v>
      </c>
      <c r="M47" s="147" t="str">
        <f t="shared" ref="M47" si="147">DEC2HEX(I47,2)</f>
        <v>FF</v>
      </c>
      <c r="N47" s="146">
        <f t="shared" si="137"/>
        <v>0</v>
      </c>
      <c r="O47" s="146">
        <f t="shared" si="138"/>
        <v>0</v>
      </c>
      <c r="P47" s="147">
        <f t="shared" si="139"/>
        <v>0</v>
      </c>
      <c r="Q47" s="134">
        <f t="shared" si="9"/>
        <v>0</v>
      </c>
      <c r="R47" s="134">
        <f t="shared" si="10"/>
        <v>0</v>
      </c>
      <c r="S47" s="204">
        <f t="shared" si="11"/>
        <v>0</v>
      </c>
      <c r="T47" s="231"/>
      <c r="U47" s="232"/>
      <c r="V47" s="233" t="str">
        <f t="shared" si="30"/>
        <v>Text</v>
      </c>
      <c r="W47" s="234" t="str">
        <f t="shared" si="14"/>
        <v>Text</v>
      </c>
      <c r="X47" s="235" t="str">
        <f t="shared" si="15"/>
        <v>Text</v>
      </c>
      <c r="Y47" s="236" t="str">
        <f t="shared" si="16"/>
        <v>Text</v>
      </c>
      <c r="Z47" s="237" t="str">
        <f t="shared" si="17"/>
        <v>Text</v>
      </c>
      <c r="AA47" s="317" t="str">
        <f t="shared" si="18"/>
        <v>Text</v>
      </c>
    </row>
  </sheetData>
  <sheetProtection sheet="1" objects="1" scenarios="1" formatCells="0"/>
  <mergeCells count="9">
    <mergeCell ref="V2:W2"/>
    <mergeCell ref="X2:Y2"/>
    <mergeCell ref="Z2:AA2"/>
    <mergeCell ref="A1:M1"/>
    <mergeCell ref="B2:M3"/>
    <mergeCell ref="N2:S2"/>
    <mergeCell ref="T2:U2"/>
    <mergeCell ref="N3:P3"/>
    <mergeCell ref="Q3:S3"/>
  </mergeCells>
  <hyperlinks>
    <hyperlink ref="A1" r:id="rId1" xr:uid="{00000000-0004-0000-0200-000000000000}"/>
  </hyperlinks>
  <pageMargins left="0.98425196850393704" right="0.98425196850393704" top="0.98425196850393704" bottom="0.98425196850393704" header="0.39370078740157483" footer="0.39370078740157483"/>
  <pageSetup paperSize="9" scale="67" orientation="landscape" r:id="rId2"/>
  <headerFooter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U1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4.5" x14ac:dyDescent="0.35"/>
  <cols>
    <col min="1" max="1" width="10.7265625" customWidth="1"/>
    <col min="2" max="5" width="6.7265625" customWidth="1"/>
    <col min="6" max="19" width="4.7265625" customWidth="1"/>
    <col min="20" max="21" width="8.7265625" customWidth="1"/>
  </cols>
  <sheetData>
    <row r="1" spans="1:21" x14ac:dyDescent="0.35">
      <c r="A1" s="488" t="s">
        <v>10</v>
      </c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9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75"/>
      <c r="U1" s="82"/>
    </row>
    <row r="2" spans="1:21" x14ac:dyDescent="0.35">
      <c r="A2" s="73" t="s">
        <v>20</v>
      </c>
      <c r="B2" s="501" t="s">
        <v>26</v>
      </c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3"/>
      <c r="N2" s="496" t="s">
        <v>24</v>
      </c>
      <c r="O2" s="497"/>
      <c r="P2" s="497"/>
      <c r="Q2" s="497"/>
      <c r="R2" s="497"/>
      <c r="S2" s="498"/>
      <c r="T2" s="499" t="s">
        <v>21</v>
      </c>
      <c r="U2" s="500"/>
    </row>
    <row r="3" spans="1:21" x14ac:dyDescent="0.35">
      <c r="A3" s="57">
        <v>2.2000000000000002</v>
      </c>
      <c r="B3" s="504"/>
      <c r="C3" s="505"/>
      <c r="D3" s="505"/>
      <c r="E3" s="505"/>
      <c r="F3" s="505"/>
      <c r="G3" s="505"/>
      <c r="H3" s="505"/>
      <c r="I3" s="505"/>
      <c r="J3" s="505"/>
      <c r="K3" s="505"/>
      <c r="L3" s="505"/>
      <c r="M3" s="506"/>
      <c r="N3" s="490" t="s">
        <v>18</v>
      </c>
      <c r="O3" s="491"/>
      <c r="P3" s="492"/>
      <c r="Q3" s="493" t="str">
        <f>"γ = "&amp;gamma</f>
        <v>γ = 2.2</v>
      </c>
      <c r="R3" s="494"/>
      <c r="S3" s="495"/>
      <c r="T3" s="30" t="str">
        <f>N3</f>
        <v>γ = 1</v>
      </c>
      <c r="U3" s="32" t="str">
        <f>Q3</f>
        <v>γ = 2.2</v>
      </c>
    </row>
    <row r="4" spans="1:21" x14ac:dyDescent="0.35">
      <c r="A4" s="12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M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si="1"/>
        <v>R</v>
      </c>
      <c r="K4" s="20" t="str">
        <f t="shared" si="1"/>
        <v>G</v>
      </c>
      <c r="L4" s="20" t="str">
        <f t="shared" si="1"/>
        <v>B</v>
      </c>
      <c r="M4" s="21" t="str">
        <f t="shared" si="1"/>
        <v>A</v>
      </c>
      <c r="N4" s="20" t="str">
        <f t="shared" ref="N4" si="2">J4</f>
        <v>R</v>
      </c>
      <c r="O4" s="20" t="str">
        <f t="shared" ref="O4" si="3">K4</f>
        <v>G</v>
      </c>
      <c r="P4" s="21" t="str">
        <f t="shared" ref="P4" si="4">L4</f>
        <v>B</v>
      </c>
      <c r="Q4" s="31" t="str">
        <f>N4</f>
        <v>R</v>
      </c>
      <c r="R4" s="31" t="str">
        <f t="shared" ref="R4:S4" si="5">O4</f>
        <v>G</v>
      </c>
      <c r="S4" s="31" t="str">
        <f t="shared" si="5"/>
        <v>B</v>
      </c>
      <c r="T4" s="19" t="s">
        <v>13</v>
      </c>
      <c r="U4" s="32" t="str">
        <f>T4</f>
        <v>Color</v>
      </c>
    </row>
    <row r="5" spans="1:21" x14ac:dyDescent="0.35">
      <c r="A5" s="14" t="s">
        <v>11</v>
      </c>
      <c r="B5" s="58">
        <v>1</v>
      </c>
      <c r="C5" s="58">
        <v>0</v>
      </c>
      <c r="D5" s="58">
        <v>0.1</v>
      </c>
      <c r="E5" s="59">
        <v>0.5</v>
      </c>
      <c r="F5" s="7">
        <f>ROUND(B5*255,0)</f>
        <v>255</v>
      </c>
      <c r="G5" s="7">
        <f t="shared" ref="G5:I5" si="6">ROUND(C5*255,0)</f>
        <v>0</v>
      </c>
      <c r="H5" s="7">
        <f t="shared" si="6"/>
        <v>26</v>
      </c>
      <c r="I5" s="1">
        <f t="shared" si="6"/>
        <v>128</v>
      </c>
      <c r="J5" s="7" t="str">
        <f>DEC2HEX(F5,2)</f>
        <v>FF</v>
      </c>
      <c r="K5" s="7" t="str">
        <f t="shared" ref="K5:M5" si="7">DEC2HEX(G5,2)</f>
        <v>00</v>
      </c>
      <c r="L5" s="7" t="str">
        <f t="shared" si="7"/>
        <v>1A</v>
      </c>
      <c r="M5" s="1" t="str">
        <f t="shared" si="7"/>
        <v>80</v>
      </c>
      <c r="N5" s="7">
        <f>ROUND((B5*$E5+N$1/255*(1-$E5))*255,0)</f>
        <v>128</v>
      </c>
      <c r="O5" s="7">
        <f t="shared" ref="O5:O10" si="8">ROUND((C5*$E5+O$1/255*(1-$E5))*255,0)</f>
        <v>0</v>
      </c>
      <c r="P5" s="1">
        <f t="shared" ref="P5:P10" si="9">ROUND((D5*$E5+P$1/255*(1-$E5))*255,0)</f>
        <v>13</v>
      </c>
      <c r="Q5" s="28">
        <f t="shared" ref="Q5:Q14" si="10">ROUND((B5^gamma*$E5+(Q$1/255)^gamma*(1-$E5))^(1/gamma)*255,0)</f>
        <v>186</v>
      </c>
      <c r="R5" s="28">
        <f t="shared" ref="R5:R14" si="11">ROUND((C5^gamma*$E5+(R$1/255)^gamma*(1-$E5))^(1/gamma)*255,0)</f>
        <v>0</v>
      </c>
      <c r="S5" s="28">
        <f t="shared" ref="S5:S14" si="12">ROUND((D5^gamma*$E5+(S$1/255)^gamma*(1-$E5))^(1/gamma)*255,0)</f>
        <v>19</v>
      </c>
      <c r="T5" s="88"/>
      <c r="U5" s="90"/>
    </row>
    <row r="6" spans="1:21" x14ac:dyDescent="0.35">
      <c r="A6" s="34" t="s">
        <v>12</v>
      </c>
      <c r="B6" s="26">
        <f>B5^gamma</f>
        <v>1</v>
      </c>
      <c r="C6" s="26">
        <f>C5^gamma</f>
        <v>0</v>
      </c>
      <c r="D6" s="26">
        <f>D5^gamma</f>
        <v>6.3095734448019303E-3</v>
      </c>
      <c r="E6" s="27">
        <f>E5</f>
        <v>0.5</v>
      </c>
      <c r="F6" s="26">
        <f>ROUND(B6*255,0)</f>
        <v>255</v>
      </c>
      <c r="G6" s="26">
        <f t="shared" ref="G6:I6" si="13">ROUND(C6*255,0)</f>
        <v>0</v>
      </c>
      <c r="H6" s="26">
        <f t="shared" si="13"/>
        <v>2</v>
      </c>
      <c r="I6" s="27">
        <f t="shared" si="13"/>
        <v>128</v>
      </c>
      <c r="J6" s="26" t="str">
        <f>DEC2HEX(F6,2)</f>
        <v>FF</v>
      </c>
      <c r="K6" s="26" t="str">
        <f t="shared" ref="K6:M8" si="14">DEC2HEX(G6,2)</f>
        <v>00</v>
      </c>
      <c r="L6" s="26" t="str">
        <f t="shared" si="14"/>
        <v>02</v>
      </c>
      <c r="M6" s="27" t="str">
        <f t="shared" si="14"/>
        <v>80</v>
      </c>
      <c r="N6" s="2">
        <f t="shared" ref="N6:N10" si="15">ROUND((B6*$E6+N$1/255*(1-$E6))*255,0)</f>
        <v>128</v>
      </c>
      <c r="O6" s="2">
        <f t="shared" si="8"/>
        <v>0</v>
      </c>
      <c r="P6" s="3">
        <f t="shared" si="9"/>
        <v>1</v>
      </c>
      <c r="Q6" s="26">
        <f t="shared" si="10"/>
        <v>186</v>
      </c>
      <c r="R6" s="26">
        <f t="shared" si="11"/>
        <v>0</v>
      </c>
      <c r="S6" s="26">
        <f t="shared" si="12"/>
        <v>1</v>
      </c>
      <c r="T6" s="89"/>
      <c r="U6" s="91"/>
    </row>
    <row r="7" spans="1:21" x14ac:dyDescent="0.35">
      <c r="A7" s="14" t="str">
        <f t="shared" ref="A7:A14" si="16">A5</f>
        <v>Stored</v>
      </c>
      <c r="B7" s="7">
        <f>F7/255</f>
        <v>0</v>
      </c>
      <c r="C7" s="7">
        <f t="shared" ref="B7:D9" si="17">G7/255</f>
        <v>0.39215686274509803</v>
      </c>
      <c r="D7" s="8">
        <f t="shared" si="17"/>
        <v>1</v>
      </c>
      <c r="E7" s="1">
        <f>I7/255</f>
        <v>0.78431372549019607</v>
      </c>
      <c r="F7" s="58">
        <v>0</v>
      </c>
      <c r="G7" s="58">
        <v>100</v>
      </c>
      <c r="H7" s="58">
        <v>255</v>
      </c>
      <c r="I7" s="59">
        <v>200</v>
      </c>
      <c r="J7" s="7" t="str">
        <f>DEC2HEX(F7,2)</f>
        <v>00</v>
      </c>
      <c r="K7" s="7" t="str">
        <f t="shared" si="14"/>
        <v>64</v>
      </c>
      <c r="L7" s="7" t="str">
        <f t="shared" si="14"/>
        <v>FF</v>
      </c>
      <c r="M7" s="1" t="str">
        <f t="shared" si="14"/>
        <v>C8</v>
      </c>
      <c r="N7" s="7">
        <f t="shared" si="15"/>
        <v>0</v>
      </c>
      <c r="O7" s="7">
        <f t="shared" si="8"/>
        <v>78</v>
      </c>
      <c r="P7" s="1">
        <f t="shared" si="9"/>
        <v>200</v>
      </c>
      <c r="Q7" s="28">
        <f t="shared" si="10"/>
        <v>0</v>
      </c>
      <c r="R7" s="28">
        <f t="shared" si="11"/>
        <v>90</v>
      </c>
      <c r="S7" s="28">
        <f t="shared" si="12"/>
        <v>228</v>
      </c>
      <c r="T7" s="76"/>
      <c r="U7" s="83"/>
    </row>
    <row r="8" spans="1:21" x14ac:dyDescent="0.35">
      <c r="A8" s="34" t="str">
        <f t="shared" si="16"/>
        <v>Displayed</v>
      </c>
      <c r="B8" s="26">
        <f>B7^gamma</f>
        <v>0</v>
      </c>
      <c r="C8" s="26">
        <f>C7^gamma</f>
        <v>0.12752977781342212</v>
      </c>
      <c r="D8" s="26">
        <f>D7^gamma</f>
        <v>1</v>
      </c>
      <c r="E8" s="27">
        <f>E7</f>
        <v>0.78431372549019607</v>
      </c>
      <c r="F8" s="26">
        <f>ROUND(B8*255,0)</f>
        <v>0</v>
      </c>
      <c r="G8" s="26">
        <f t="shared" ref="G8:I8" si="18">ROUND(C8*255,0)</f>
        <v>33</v>
      </c>
      <c r="H8" s="26">
        <f t="shared" si="18"/>
        <v>255</v>
      </c>
      <c r="I8" s="27">
        <f t="shared" si="18"/>
        <v>200</v>
      </c>
      <c r="J8" s="26" t="str">
        <f t="shared" ref="J8" si="19">DEC2HEX(F8,2)</f>
        <v>00</v>
      </c>
      <c r="K8" s="26" t="str">
        <f t="shared" si="14"/>
        <v>21</v>
      </c>
      <c r="L8" s="26" t="str">
        <f t="shared" si="14"/>
        <v>FF</v>
      </c>
      <c r="M8" s="27" t="str">
        <f t="shared" si="14"/>
        <v>C8</v>
      </c>
      <c r="N8" s="2">
        <f t="shared" si="15"/>
        <v>0</v>
      </c>
      <c r="O8" s="2">
        <f t="shared" si="8"/>
        <v>26</v>
      </c>
      <c r="P8" s="3">
        <f t="shared" si="9"/>
        <v>200</v>
      </c>
      <c r="Q8" s="26">
        <f t="shared" si="10"/>
        <v>0</v>
      </c>
      <c r="R8" s="26">
        <f t="shared" si="11"/>
        <v>29</v>
      </c>
      <c r="S8" s="26">
        <f t="shared" si="12"/>
        <v>228</v>
      </c>
      <c r="T8" s="77"/>
      <c r="U8" s="84"/>
    </row>
    <row r="9" spans="1:21" x14ac:dyDescent="0.35">
      <c r="A9" s="14" t="str">
        <f t="shared" si="16"/>
        <v>Stored</v>
      </c>
      <c r="B9" s="7">
        <f t="shared" si="17"/>
        <v>0</v>
      </c>
      <c r="C9" s="7">
        <f t="shared" si="17"/>
        <v>0.20784313725490197</v>
      </c>
      <c r="D9" s="7">
        <f t="shared" si="17"/>
        <v>0.29019607843137257</v>
      </c>
      <c r="E9" s="1">
        <f>I9/255</f>
        <v>0.90196078431372551</v>
      </c>
      <c r="F9" s="7">
        <f t="shared" ref="F9:H9" si="20">HEX2DEC(J9)</f>
        <v>0</v>
      </c>
      <c r="G9" s="7">
        <f t="shared" si="20"/>
        <v>53</v>
      </c>
      <c r="H9" s="7">
        <f t="shared" si="20"/>
        <v>74</v>
      </c>
      <c r="I9" s="1">
        <f>HEX2DEC(M9)</f>
        <v>230</v>
      </c>
      <c r="J9" s="70" t="s">
        <v>5</v>
      </c>
      <c r="K9" s="70" t="s">
        <v>6</v>
      </c>
      <c r="L9" s="70" t="s">
        <v>7</v>
      </c>
      <c r="M9" s="71" t="s">
        <v>8</v>
      </c>
      <c r="N9" s="9">
        <f t="shared" si="15"/>
        <v>0</v>
      </c>
      <c r="O9" s="9">
        <f t="shared" si="8"/>
        <v>48</v>
      </c>
      <c r="P9" s="10">
        <f t="shared" si="9"/>
        <v>67</v>
      </c>
      <c r="Q9" s="74">
        <f t="shared" si="10"/>
        <v>0</v>
      </c>
      <c r="R9" s="74">
        <f t="shared" si="11"/>
        <v>51</v>
      </c>
      <c r="S9" s="74">
        <f t="shared" si="12"/>
        <v>71</v>
      </c>
      <c r="T9" s="78"/>
      <c r="U9" s="56"/>
    </row>
    <row r="10" spans="1:21" x14ac:dyDescent="0.35">
      <c r="A10" s="34" t="str">
        <f t="shared" si="16"/>
        <v>Displayed</v>
      </c>
      <c r="B10" s="26">
        <f>B9^gamma</f>
        <v>0</v>
      </c>
      <c r="C10" s="26">
        <f>C9^gamma</f>
        <v>3.1551391400226447E-2</v>
      </c>
      <c r="D10" s="26">
        <f>D9^gamma</f>
        <v>6.5753880260330105E-2</v>
      </c>
      <c r="E10" s="27">
        <f>E9</f>
        <v>0.90196078431372551</v>
      </c>
      <c r="F10" s="26">
        <f>ROUND(B10*255,0)</f>
        <v>0</v>
      </c>
      <c r="G10" s="26">
        <f t="shared" ref="G10:I13" si="21">ROUND(C10*255,0)</f>
        <v>8</v>
      </c>
      <c r="H10" s="26">
        <f t="shared" si="21"/>
        <v>17</v>
      </c>
      <c r="I10" s="27">
        <f t="shared" si="21"/>
        <v>230</v>
      </c>
      <c r="J10" s="26" t="str">
        <f t="shared" ref="J10:M13" si="22">DEC2HEX(F10,2)</f>
        <v>00</v>
      </c>
      <c r="K10" s="26" t="str">
        <f t="shared" si="22"/>
        <v>08</v>
      </c>
      <c r="L10" s="26" t="str">
        <f t="shared" si="22"/>
        <v>11</v>
      </c>
      <c r="M10" s="27" t="str">
        <f t="shared" si="22"/>
        <v>E6</v>
      </c>
      <c r="N10" s="4">
        <f t="shared" si="15"/>
        <v>0</v>
      </c>
      <c r="O10" s="4">
        <f t="shared" si="8"/>
        <v>7</v>
      </c>
      <c r="P10" s="5">
        <f t="shared" si="9"/>
        <v>15</v>
      </c>
      <c r="Q10" s="26">
        <f t="shared" si="10"/>
        <v>0</v>
      </c>
      <c r="R10" s="26">
        <f t="shared" si="11"/>
        <v>8</v>
      </c>
      <c r="S10" s="26">
        <f t="shared" si="12"/>
        <v>16</v>
      </c>
      <c r="T10" s="79"/>
      <c r="U10" s="85"/>
    </row>
    <row r="11" spans="1:21" x14ac:dyDescent="0.35">
      <c r="A11" s="14" t="str">
        <f t="shared" si="16"/>
        <v>Stored</v>
      </c>
      <c r="B11" s="7">
        <f>F11/255</f>
        <v>0</v>
      </c>
      <c r="C11" s="7">
        <f t="shared" ref="C11" si="23">G11/255</f>
        <v>0.39215686274509803</v>
      </c>
      <c r="D11" s="8">
        <f t="shared" ref="D11" si="24">H11/255</f>
        <v>1</v>
      </c>
      <c r="E11" s="59">
        <v>0.8</v>
      </c>
      <c r="F11" s="58">
        <v>0</v>
      </c>
      <c r="G11" s="58">
        <v>100</v>
      </c>
      <c r="H11" s="58">
        <v>255</v>
      </c>
      <c r="I11" s="1">
        <f t="shared" si="21"/>
        <v>204</v>
      </c>
      <c r="J11" s="7" t="str">
        <f>DEC2HEX(F11,2)</f>
        <v>00</v>
      </c>
      <c r="K11" s="7" t="str">
        <f t="shared" si="22"/>
        <v>64</v>
      </c>
      <c r="L11" s="7" t="str">
        <f t="shared" si="22"/>
        <v>FF</v>
      </c>
      <c r="M11" s="1" t="str">
        <f t="shared" si="22"/>
        <v>CC</v>
      </c>
      <c r="N11" s="7">
        <f t="shared" ref="N11:N14" si="25">ROUND((B11*$E11+N$1/255*(1-$E11))*255,0)</f>
        <v>0</v>
      </c>
      <c r="O11" s="7">
        <f t="shared" ref="O11:O14" si="26">ROUND((C11*$E11+O$1/255*(1-$E11))*255,0)</f>
        <v>80</v>
      </c>
      <c r="P11" s="1">
        <f t="shared" ref="P11:P14" si="27">ROUND((D11*$E11+P$1/255*(1-$E11))*255,0)</f>
        <v>204</v>
      </c>
      <c r="Q11" s="28">
        <f t="shared" si="10"/>
        <v>0</v>
      </c>
      <c r="R11" s="28">
        <f t="shared" si="11"/>
        <v>90</v>
      </c>
      <c r="S11" s="28">
        <f t="shared" si="12"/>
        <v>230</v>
      </c>
      <c r="T11" s="80"/>
      <c r="U11" s="86"/>
    </row>
    <row r="12" spans="1:21" x14ac:dyDescent="0.35">
      <c r="A12" s="34" t="str">
        <f t="shared" si="16"/>
        <v>Displayed</v>
      </c>
      <c r="B12" s="26">
        <f>B11^gamma</f>
        <v>0</v>
      </c>
      <c r="C12" s="26">
        <f>C11^gamma</f>
        <v>0.12752977781342212</v>
      </c>
      <c r="D12" s="26">
        <f>D11^gamma</f>
        <v>1</v>
      </c>
      <c r="E12" s="27">
        <f>E11</f>
        <v>0.8</v>
      </c>
      <c r="F12" s="26">
        <f>ROUND(B12*255,0)</f>
        <v>0</v>
      </c>
      <c r="G12" s="26">
        <f t="shared" ref="G12" si="28">ROUND(C12*255,0)</f>
        <v>33</v>
      </c>
      <c r="H12" s="26">
        <f t="shared" ref="H12" si="29">ROUND(D12*255,0)</f>
        <v>255</v>
      </c>
      <c r="I12" s="27">
        <f t="shared" ref="I12" si="30">ROUND(E12*255,0)</f>
        <v>204</v>
      </c>
      <c r="J12" s="26" t="str">
        <f t="shared" ref="J12" si="31">DEC2HEX(F12,2)</f>
        <v>00</v>
      </c>
      <c r="K12" s="26" t="str">
        <f t="shared" si="22"/>
        <v>21</v>
      </c>
      <c r="L12" s="26" t="str">
        <f t="shared" si="22"/>
        <v>FF</v>
      </c>
      <c r="M12" s="27" t="str">
        <f t="shared" si="22"/>
        <v>CC</v>
      </c>
      <c r="N12" s="2">
        <f t="shared" si="25"/>
        <v>0</v>
      </c>
      <c r="O12" s="2">
        <f t="shared" si="26"/>
        <v>26</v>
      </c>
      <c r="P12" s="3">
        <f t="shared" si="27"/>
        <v>204</v>
      </c>
      <c r="Q12" s="26">
        <f t="shared" si="10"/>
        <v>0</v>
      </c>
      <c r="R12" s="26">
        <f t="shared" si="11"/>
        <v>29</v>
      </c>
      <c r="S12" s="26">
        <f t="shared" si="12"/>
        <v>230</v>
      </c>
      <c r="T12" s="81"/>
      <c r="U12" s="87"/>
    </row>
    <row r="13" spans="1:21" x14ac:dyDescent="0.35">
      <c r="A13" s="14" t="str">
        <f t="shared" si="16"/>
        <v>Stored</v>
      </c>
      <c r="B13" s="7">
        <f t="shared" ref="B13" si="32">F13/255</f>
        <v>0</v>
      </c>
      <c r="C13" s="7">
        <f t="shared" ref="C13" si="33">G13/255</f>
        <v>0.20784313725490197</v>
      </c>
      <c r="D13" s="7">
        <f t="shared" ref="D13" si="34">H13/255</f>
        <v>0.29019607843137257</v>
      </c>
      <c r="E13" s="59">
        <v>0.9</v>
      </c>
      <c r="F13" s="7">
        <f t="shared" ref="F13" si="35">HEX2DEC(J13)</f>
        <v>0</v>
      </c>
      <c r="G13" s="7">
        <f t="shared" ref="G13" si="36">HEX2DEC(K13)</f>
        <v>53</v>
      </c>
      <c r="H13" s="7">
        <f t="shared" ref="H13" si="37">HEX2DEC(L13)</f>
        <v>74</v>
      </c>
      <c r="I13" s="1">
        <f t="shared" si="21"/>
        <v>230</v>
      </c>
      <c r="J13" s="70" t="s">
        <v>5</v>
      </c>
      <c r="K13" s="70" t="s">
        <v>6</v>
      </c>
      <c r="L13" s="70" t="s">
        <v>7</v>
      </c>
      <c r="M13" s="1" t="str">
        <f t="shared" si="22"/>
        <v>E6</v>
      </c>
      <c r="N13" s="9">
        <f t="shared" si="25"/>
        <v>0</v>
      </c>
      <c r="O13" s="9">
        <f t="shared" si="26"/>
        <v>48</v>
      </c>
      <c r="P13" s="10">
        <f t="shared" si="27"/>
        <v>67</v>
      </c>
      <c r="Q13" s="74">
        <f t="shared" si="10"/>
        <v>0</v>
      </c>
      <c r="R13" s="74">
        <f t="shared" si="11"/>
        <v>51</v>
      </c>
      <c r="S13" s="74">
        <f t="shared" si="12"/>
        <v>71</v>
      </c>
      <c r="T13" s="78"/>
      <c r="U13" s="56"/>
    </row>
    <row r="14" spans="1:21" x14ac:dyDescent="0.35">
      <c r="A14" s="34" t="str">
        <f t="shared" si="16"/>
        <v>Displayed</v>
      </c>
      <c r="B14" s="26">
        <f>B13^gamma</f>
        <v>0</v>
      </c>
      <c r="C14" s="26">
        <f>C13^gamma</f>
        <v>3.1551391400226447E-2</v>
      </c>
      <c r="D14" s="26">
        <f>D13^gamma</f>
        <v>6.5753880260330105E-2</v>
      </c>
      <c r="E14" s="27">
        <f>E13</f>
        <v>0.9</v>
      </c>
      <c r="F14" s="26">
        <f>ROUND(B14*255,0)</f>
        <v>0</v>
      </c>
      <c r="G14" s="26">
        <f t="shared" ref="G14" si="38">ROUND(C14*255,0)</f>
        <v>8</v>
      </c>
      <c r="H14" s="26">
        <f t="shared" ref="H14" si="39">ROUND(D14*255,0)</f>
        <v>17</v>
      </c>
      <c r="I14" s="27">
        <f t="shared" ref="I14" si="40">ROUND(E14*255,0)</f>
        <v>230</v>
      </c>
      <c r="J14" s="26" t="str">
        <f t="shared" ref="J14" si="41">DEC2HEX(F14,2)</f>
        <v>00</v>
      </c>
      <c r="K14" s="26" t="str">
        <f t="shared" ref="K14" si="42">DEC2HEX(G14,2)</f>
        <v>08</v>
      </c>
      <c r="L14" s="26" t="str">
        <f t="shared" ref="L14" si="43">DEC2HEX(H14,2)</f>
        <v>11</v>
      </c>
      <c r="M14" s="27" t="str">
        <f t="shared" ref="M14" si="44">DEC2HEX(I14,2)</f>
        <v>E6</v>
      </c>
      <c r="N14" s="4">
        <f t="shared" si="25"/>
        <v>0</v>
      </c>
      <c r="O14" s="4">
        <f t="shared" si="26"/>
        <v>7</v>
      </c>
      <c r="P14" s="5">
        <f t="shared" si="27"/>
        <v>15</v>
      </c>
      <c r="Q14" s="26">
        <f t="shared" si="10"/>
        <v>0</v>
      </c>
      <c r="R14" s="26">
        <f t="shared" si="11"/>
        <v>8</v>
      </c>
      <c r="S14" s="26">
        <f t="shared" si="12"/>
        <v>16</v>
      </c>
      <c r="T14" s="79"/>
      <c r="U14" s="85"/>
    </row>
  </sheetData>
  <sheetProtection sheet="1" objects="1" scenarios="1" formatCells="0"/>
  <mergeCells count="6">
    <mergeCell ref="A1:M1"/>
    <mergeCell ref="N3:P3"/>
    <mergeCell ref="Q3:S3"/>
    <mergeCell ref="N2:S2"/>
    <mergeCell ref="T2:U2"/>
    <mergeCell ref="B2:M3"/>
  </mergeCells>
  <hyperlinks>
    <hyperlink ref="A1" r:id="rId1" location="Composing_alpha_blending_with_gamma_correction" xr:uid="{00000000-0004-0000-0300-000000000000}"/>
  </hyperlinks>
  <pageMargins left="0.98425196850393704" right="0.98425196850393704" top="0.98425196850393704" bottom="0.98425196850393704" header="0.39370078740157483" footer="0.39370078740157483"/>
  <pageSetup paperSize="9" fitToHeight="0" orientation="landscape" r:id="rId2"/>
  <headerFooter>
    <oddHeader>&amp;A</oddHeader>
  </headerFooter>
  <ignoredErrors>
    <ignoredError sqref="B9:E9 B7:E7 F9:I9 B8:E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U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4.5" x14ac:dyDescent="0.35"/>
  <cols>
    <col min="1" max="1" width="10.7265625" customWidth="1"/>
    <col min="2" max="5" width="6.7265625" customWidth="1"/>
    <col min="6" max="19" width="4.7265625" customWidth="1"/>
    <col min="20" max="21" width="8.7265625" customWidth="1"/>
  </cols>
  <sheetData>
    <row r="1" spans="1:21" x14ac:dyDescent="0.35">
      <c r="A1" s="507" t="s">
        <v>9</v>
      </c>
      <c r="B1" s="507"/>
      <c r="C1" s="507"/>
      <c r="D1" s="507"/>
      <c r="E1" s="507"/>
      <c r="F1" s="507"/>
      <c r="G1" s="507"/>
      <c r="H1" s="507"/>
      <c r="I1" s="507"/>
      <c r="J1" s="507"/>
      <c r="K1" s="507"/>
      <c r="L1" s="507"/>
      <c r="M1" s="508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44"/>
      <c r="U1" s="25"/>
    </row>
    <row r="2" spans="1:21" x14ac:dyDescent="0.35">
      <c r="A2" s="73" t="s">
        <v>20</v>
      </c>
      <c r="B2" s="501" t="s">
        <v>22</v>
      </c>
      <c r="C2" s="502"/>
      <c r="D2" s="502"/>
      <c r="E2" s="502"/>
      <c r="F2" s="502"/>
      <c r="G2" s="502"/>
      <c r="H2" s="502"/>
      <c r="I2" s="502"/>
      <c r="J2" s="502"/>
      <c r="K2" s="502"/>
      <c r="L2" s="502"/>
      <c r="M2" s="503"/>
      <c r="N2" s="496" t="s">
        <v>24</v>
      </c>
      <c r="O2" s="497"/>
      <c r="P2" s="497"/>
      <c r="Q2" s="497"/>
      <c r="R2" s="497"/>
      <c r="S2" s="498"/>
      <c r="T2" s="499" t="s">
        <v>21</v>
      </c>
      <c r="U2" s="500"/>
    </row>
    <row r="3" spans="1:21" x14ac:dyDescent="0.35">
      <c r="A3" s="57">
        <v>2.2000000000000002</v>
      </c>
      <c r="B3" s="504"/>
      <c r="C3" s="505"/>
      <c r="D3" s="505"/>
      <c r="E3" s="505"/>
      <c r="F3" s="505"/>
      <c r="G3" s="505"/>
      <c r="H3" s="505"/>
      <c r="I3" s="505"/>
      <c r="J3" s="505"/>
      <c r="K3" s="505"/>
      <c r="L3" s="505"/>
      <c r="M3" s="506"/>
      <c r="N3" s="490" t="s">
        <v>18</v>
      </c>
      <c r="O3" s="491"/>
      <c r="P3" s="492"/>
      <c r="Q3" s="493" t="str">
        <f>"γ = "&amp;gamma</f>
        <v>γ = 2.2</v>
      </c>
      <c r="R3" s="494"/>
      <c r="S3" s="495"/>
      <c r="T3" s="30" t="str">
        <f>N3</f>
        <v>γ = 1</v>
      </c>
      <c r="U3" s="32" t="str">
        <f>Q3</f>
        <v>γ = 2.2</v>
      </c>
    </row>
    <row r="4" spans="1:21" x14ac:dyDescent="0.35">
      <c r="A4" s="37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I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ref="J4" si="2">F4</f>
        <v>R</v>
      </c>
      <c r="K4" s="20" t="str">
        <f t="shared" ref="K4" si="3">G4</f>
        <v>G</v>
      </c>
      <c r="L4" s="20" t="str">
        <f t="shared" ref="L4" si="4">H4</f>
        <v>B</v>
      </c>
      <c r="M4" s="21" t="str">
        <f t="shared" ref="M4" si="5">I4</f>
        <v>A</v>
      </c>
      <c r="N4" s="20" t="str">
        <f t="shared" ref="N4" si="6">J4</f>
        <v>R</v>
      </c>
      <c r="O4" s="20" t="str">
        <f t="shared" ref="O4" si="7">K4</f>
        <v>G</v>
      </c>
      <c r="P4" s="21" t="str">
        <f t="shared" ref="P4" si="8">L4</f>
        <v>B</v>
      </c>
      <c r="Q4" s="40" t="str">
        <f>N4</f>
        <v>R</v>
      </c>
      <c r="R4" s="31" t="str">
        <f t="shared" ref="R4:S4" si="9">O4</f>
        <v>G</v>
      </c>
      <c r="S4" s="32" t="str">
        <f t="shared" si="9"/>
        <v>B</v>
      </c>
      <c r="T4" s="19" t="s">
        <v>13</v>
      </c>
      <c r="U4" s="32" t="str">
        <f>T4</f>
        <v>Color</v>
      </c>
    </row>
    <row r="5" spans="1:21" x14ac:dyDescent="0.35">
      <c r="A5" s="38" t="s">
        <v>14</v>
      </c>
      <c r="B5" s="58">
        <v>0.5</v>
      </c>
      <c r="C5" s="58">
        <v>0</v>
      </c>
      <c r="D5" s="58">
        <v>0</v>
      </c>
      <c r="E5" s="59">
        <v>0.5</v>
      </c>
      <c r="F5" s="7">
        <f>ROUND(B5*255,0)</f>
        <v>128</v>
      </c>
      <c r="G5" s="7">
        <f t="shared" ref="G5:I5" si="10">ROUND(C5*255,0)</f>
        <v>0</v>
      </c>
      <c r="H5" s="7">
        <f t="shared" si="10"/>
        <v>0</v>
      </c>
      <c r="I5" s="1">
        <f t="shared" si="10"/>
        <v>128</v>
      </c>
      <c r="J5" s="7" t="str">
        <f>DEC2HEX(F5,2)</f>
        <v>80</v>
      </c>
      <c r="K5" s="7" t="str">
        <f t="shared" ref="K5:M5" si="11">DEC2HEX(G5,2)</f>
        <v>00</v>
      </c>
      <c r="L5" s="7" t="str">
        <f t="shared" si="11"/>
        <v>00</v>
      </c>
      <c r="M5" s="1" t="str">
        <f t="shared" si="11"/>
        <v>80</v>
      </c>
      <c r="N5" s="7">
        <f>ROUND((B5*$E5+N$1/255*(1-$E5))*255,0)</f>
        <v>64</v>
      </c>
      <c r="O5" s="7">
        <f t="shared" ref="O5:P5" si="12">ROUND((C5*$E5+O$1/255*(1-$E5))*255,0)</f>
        <v>0</v>
      </c>
      <c r="P5" s="1">
        <f t="shared" si="12"/>
        <v>0</v>
      </c>
      <c r="Q5" s="41">
        <f t="shared" ref="Q5:Q24" si="13">ROUND((B5^gamma*$E5+(Q$1/255)^gamma*(1-$E5))^(1/gamma)*255,0)</f>
        <v>93</v>
      </c>
      <c r="R5" s="41">
        <f t="shared" ref="R5:R24" si="14">ROUND((C5^gamma*$E5+(R$1/255)^gamma*(1-$E5))^(1/gamma)*255,0)</f>
        <v>0</v>
      </c>
      <c r="S5" s="42">
        <f t="shared" ref="S5:S24" si="15">ROUND((D5^gamma*$E5+(S$1/255)^gamma*(1-$E5))^(1/gamma)*255,0)</f>
        <v>0</v>
      </c>
      <c r="T5" s="287"/>
      <c r="U5" s="290"/>
    </row>
    <row r="6" spans="1:21" x14ac:dyDescent="0.35">
      <c r="A6" s="38" t="s">
        <v>15</v>
      </c>
      <c r="B6" s="58">
        <v>0</v>
      </c>
      <c r="C6" s="58">
        <v>1</v>
      </c>
      <c r="D6" s="58">
        <v>0</v>
      </c>
      <c r="E6" s="59">
        <v>1</v>
      </c>
      <c r="F6" s="7">
        <f>ROUND(B6*255,0)</f>
        <v>0</v>
      </c>
      <c r="G6" s="7">
        <f t="shared" ref="G6" si="16">ROUND(C6*255,0)</f>
        <v>255</v>
      </c>
      <c r="H6" s="7">
        <f t="shared" ref="H6" si="17">ROUND(D6*255,0)</f>
        <v>0</v>
      </c>
      <c r="I6" s="1">
        <f t="shared" ref="I6" si="18">ROUND(E6*255,0)</f>
        <v>255</v>
      </c>
      <c r="J6" s="7" t="str">
        <f>DEC2HEX(F6,2)</f>
        <v>00</v>
      </c>
      <c r="K6" s="7" t="str">
        <f t="shared" ref="K6" si="19">DEC2HEX(G6,2)</f>
        <v>FF</v>
      </c>
      <c r="L6" s="7" t="str">
        <f t="shared" ref="L6" si="20">DEC2HEX(H6,2)</f>
        <v>00</v>
      </c>
      <c r="M6" s="1" t="str">
        <f t="shared" ref="M6" si="21">DEC2HEX(I6,2)</f>
        <v>FF</v>
      </c>
      <c r="N6" s="7">
        <f t="shared" ref="N6:N16" si="22">ROUND((B6*$E6+N$1/255*(1-$E6))*255,0)</f>
        <v>0</v>
      </c>
      <c r="O6" s="7">
        <f t="shared" ref="O6:O16" si="23">ROUND((C6*$E6+O$1/255*(1-$E6))*255,0)</f>
        <v>255</v>
      </c>
      <c r="P6" s="1">
        <f t="shared" ref="P6:P16" si="24">ROUND((D6*$E6+P$1/255*(1-$E6))*255,0)</f>
        <v>0</v>
      </c>
      <c r="Q6" s="41">
        <f t="shared" si="13"/>
        <v>0</v>
      </c>
      <c r="R6" s="41">
        <f t="shared" si="14"/>
        <v>255</v>
      </c>
      <c r="S6" s="29">
        <f t="shared" si="15"/>
        <v>0</v>
      </c>
      <c r="T6" s="285"/>
      <c r="U6" s="286"/>
    </row>
    <row r="7" spans="1:21" x14ac:dyDescent="0.35">
      <c r="A7" s="38" t="s">
        <v>19</v>
      </c>
      <c r="B7" s="8">
        <f t="shared" ref="B7:C7" si="25">IF($E7=0,0,(B5*$E5+B6*$E6*(1-$E5))/$E7)</f>
        <v>0.25</v>
      </c>
      <c r="C7" s="8">
        <f t="shared" si="25"/>
        <v>0.5</v>
      </c>
      <c r="D7" s="8">
        <f>IF($E7=0,0,(D5*$E5+D6*$E6*(1-$E5))/$E7)</f>
        <v>0</v>
      </c>
      <c r="E7" s="6">
        <f>E5+E6*(1-E5)</f>
        <v>1</v>
      </c>
      <c r="F7" s="7">
        <f>ROUND(B7*255,0)</f>
        <v>64</v>
      </c>
      <c r="G7" s="7">
        <f t="shared" ref="G7" si="26">ROUND(C7*255,0)</f>
        <v>128</v>
      </c>
      <c r="H7" s="7">
        <f t="shared" ref="H7" si="27">ROUND(D7*255,0)</f>
        <v>0</v>
      </c>
      <c r="I7" s="1">
        <f t="shared" ref="I7" si="28">ROUND(E7*255,0)</f>
        <v>255</v>
      </c>
      <c r="J7" s="7" t="str">
        <f t="shared" ref="J7" si="29">DEC2HEX(F7,2)</f>
        <v>40</v>
      </c>
      <c r="K7" s="7" t="str">
        <f t="shared" ref="K7" si="30">DEC2HEX(G7,2)</f>
        <v>80</v>
      </c>
      <c r="L7" s="7" t="str">
        <f t="shared" ref="L7" si="31">DEC2HEX(H7,2)</f>
        <v>00</v>
      </c>
      <c r="M7" s="1" t="str">
        <f t="shared" ref="M7" si="32">DEC2HEX(I7,2)</f>
        <v>FF</v>
      </c>
      <c r="N7" s="7">
        <f t="shared" si="22"/>
        <v>64</v>
      </c>
      <c r="O7" s="7">
        <f t="shared" si="23"/>
        <v>128</v>
      </c>
      <c r="P7" s="1">
        <f t="shared" si="24"/>
        <v>0</v>
      </c>
      <c r="Q7" s="41">
        <f t="shared" si="13"/>
        <v>64</v>
      </c>
      <c r="R7" s="41">
        <f t="shared" si="14"/>
        <v>128</v>
      </c>
      <c r="S7" s="29">
        <f t="shared" si="15"/>
        <v>0</v>
      </c>
      <c r="T7" s="288"/>
      <c r="U7" s="291"/>
    </row>
    <row r="8" spans="1:21" x14ac:dyDescent="0.35">
      <c r="A8" s="39" t="str">
        <f>"Out γ = "&amp;gamma</f>
        <v>Out γ = 2.2</v>
      </c>
      <c r="B8" s="26">
        <f>IF($E8=0,0,((B5^gamma*$E5+B6^gamma*$E6*(1-$E5))/$E8)^(1/gamma))</f>
        <v>0.36487002642036159</v>
      </c>
      <c r="C8" s="26">
        <f>IF($E8=0,0,((C5^gamma*$E5+C6^gamma*$E6*(1-$E5))/$E8)^(1/gamma))</f>
        <v>0.72974005284072307</v>
      </c>
      <c r="D8" s="26">
        <f>IF($E8=0,0,((D5^gamma*$E5+D6^gamma*$E6*(1-$E5))/$E8)^(1/gamma))</f>
        <v>0</v>
      </c>
      <c r="E8" s="27">
        <f>E5+E6*(1-E5)</f>
        <v>1</v>
      </c>
      <c r="F8" s="26">
        <f>ROUND(B8*255,0)</f>
        <v>93</v>
      </c>
      <c r="G8" s="26">
        <f t="shared" ref="G8" si="33">ROUND(C8*255,0)</f>
        <v>186</v>
      </c>
      <c r="H8" s="26">
        <f t="shared" ref="H8" si="34">ROUND(D8*255,0)</f>
        <v>0</v>
      </c>
      <c r="I8" s="27">
        <f t="shared" ref="I8" si="35">ROUND(E8*255,0)</f>
        <v>255</v>
      </c>
      <c r="J8" s="26" t="str">
        <f>DEC2HEX(F8,2)</f>
        <v>5D</v>
      </c>
      <c r="K8" s="26" t="str">
        <f t="shared" ref="K8" si="36">DEC2HEX(G8,2)</f>
        <v>BA</v>
      </c>
      <c r="L8" s="26" t="str">
        <f t="shared" ref="L8" si="37">DEC2HEX(H8,2)</f>
        <v>00</v>
      </c>
      <c r="M8" s="27" t="str">
        <f t="shared" ref="M8" si="38">DEC2HEX(I8,2)</f>
        <v>FF</v>
      </c>
      <c r="N8" s="35">
        <f t="shared" si="22"/>
        <v>93</v>
      </c>
      <c r="O8" s="2">
        <f t="shared" si="23"/>
        <v>186</v>
      </c>
      <c r="P8" s="3">
        <f t="shared" si="24"/>
        <v>0</v>
      </c>
      <c r="Q8" s="43">
        <f t="shared" si="13"/>
        <v>93</v>
      </c>
      <c r="R8" s="26">
        <f t="shared" si="14"/>
        <v>186</v>
      </c>
      <c r="S8" s="27">
        <f t="shared" si="15"/>
        <v>0</v>
      </c>
      <c r="T8" s="289"/>
      <c r="U8" s="292"/>
    </row>
    <row r="9" spans="1:21" x14ac:dyDescent="0.35">
      <c r="A9" s="38" t="str">
        <f t="shared" ref="A9:A24" si="39">A5</f>
        <v>Src</v>
      </c>
      <c r="B9" s="7">
        <f t="shared" ref="B9:D13" si="40">F9/255</f>
        <v>1</v>
      </c>
      <c r="C9" s="7">
        <f t="shared" si="40"/>
        <v>1</v>
      </c>
      <c r="D9" s="7">
        <f t="shared" si="40"/>
        <v>1</v>
      </c>
      <c r="E9" s="1">
        <f>I9/255</f>
        <v>0.39215686274509803</v>
      </c>
      <c r="F9" s="58">
        <v>255</v>
      </c>
      <c r="G9" s="58">
        <v>255</v>
      </c>
      <c r="H9" s="58">
        <v>255</v>
      </c>
      <c r="I9" s="59">
        <v>100</v>
      </c>
      <c r="J9" s="7" t="str">
        <f>DEC2HEX(F9,2)</f>
        <v>FF</v>
      </c>
      <c r="K9" s="7" t="str">
        <f t="shared" ref="K9:M9" si="41">DEC2HEX(G9,2)</f>
        <v>FF</v>
      </c>
      <c r="L9" s="7" t="str">
        <f t="shared" si="41"/>
        <v>FF</v>
      </c>
      <c r="M9" s="1" t="str">
        <f t="shared" si="41"/>
        <v>64</v>
      </c>
      <c r="N9" s="7">
        <f t="shared" si="22"/>
        <v>100</v>
      </c>
      <c r="O9" s="7">
        <f t="shared" si="23"/>
        <v>100</v>
      </c>
      <c r="P9" s="1">
        <f t="shared" si="24"/>
        <v>100</v>
      </c>
      <c r="Q9" s="41">
        <f t="shared" si="13"/>
        <v>167</v>
      </c>
      <c r="R9" s="41">
        <f t="shared" si="14"/>
        <v>167</v>
      </c>
      <c r="S9" s="29">
        <f t="shared" si="15"/>
        <v>167</v>
      </c>
      <c r="T9" s="45"/>
      <c r="U9" s="52"/>
    </row>
    <row r="10" spans="1:21" x14ac:dyDescent="0.35">
      <c r="A10" s="38" t="str">
        <f t="shared" si="39"/>
        <v>Dst</v>
      </c>
      <c r="B10" s="7">
        <f t="shared" ref="B10" si="42">F10/255</f>
        <v>0.4823529411764706</v>
      </c>
      <c r="C10" s="7">
        <f t="shared" ref="C10" si="43">G10/255</f>
        <v>9.0196078431372548E-2</v>
      </c>
      <c r="D10" s="7">
        <f t="shared" ref="D10" si="44">H10/255</f>
        <v>0.17647058823529413</v>
      </c>
      <c r="E10" s="1">
        <f>I10/255</f>
        <v>0.17647058823529413</v>
      </c>
      <c r="F10" s="58">
        <v>123</v>
      </c>
      <c r="G10" s="58">
        <v>23</v>
      </c>
      <c r="H10" s="58">
        <v>45</v>
      </c>
      <c r="I10" s="59">
        <v>45</v>
      </c>
      <c r="J10" s="7" t="str">
        <f t="shared" ref="J10:J12" si="45">DEC2HEX(F10,2)</f>
        <v>7B</v>
      </c>
      <c r="K10" s="7" t="str">
        <f t="shared" ref="K10:K12" si="46">DEC2HEX(G10,2)</f>
        <v>17</v>
      </c>
      <c r="L10" s="7" t="str">
        <f t="shared" ref="L10:L12" si="47">DEC2HEX(H10,2)</f>
        <v>2D</v>
      </c>
      <c r="M10" s="1" t="str">
        <f t="shared" ref="M10:M12" si="48">DEC2HEX(I10,2)</f>
        <v>2D</v>
      </c>
      <c r="N10" s="7">
        <f t="shared" si="22"/>
        <v>22</v>
      </c>
      <c r="O10" s="7">
        <f t="shared" si="23"/>
        <v>4</v>
      </c>
      <c r="P10" s="1">
        <f t="shared" si="24"/>
        <v>8</v>
      </c>
      <c r="Q10" s="41">
        <f t="shared" si="13"/>
        <v>56</v>
      </c>
      <c r="R10" s="41">
        <f t="shared" si="14"/>
        <v>10</v>
      </c>
      <c r="S10" s="29">
        <f t="shared" si="15"/>
        <v>20</v>
      </c>
      <c r="T10" s="46"/>
      <c r="U10" s="53"/>
    </row>
    <row r="11" spans="1:21" x14ac:dyDescent="0.35">
      <c r="A11" s="38" t="str">
        <f t="shared" si="39"/>
        <v>Out γ = 1</v>
      </c>
      <c r="B11" s="7">
        <f t="shared" ref="B11:D11" si="49">IF($E11=0,0,(B9*$E9+B10*$E10*(1-$E9))/$E11)</f>
        <v>0.88881945387854899</v>
      </c>
      <c r="C11" s="7">
        <f t="shared" si="49"/>
        <v>0.8045917674229045</v>
      </c>
      <c r="D11" s="7">
        <f t="shared" si="49"/>
        <v>0.82312185844314623</v>
      </c>
      <c r="E11" s="1">
        <f>E9+E10*(1-E9)</f>
        <v>0.49942329873125724</v>
      </c>
      <c r="F11" s="8">
        <f>ROUND(B11*255,0)</f>
        <v>227</v>
      </c>
      <c r="G11" s="8">
        <f t="shared" ref="G11" si="50">ROUND(C11*255,0)</f>
        <v>205</v>
      </c>
      <c r="H11" s="8">
        <f t="shared" ref="H11" si="51">ROUND(D11*255,0)</f>
        <v>210</v>
      </c>
      <c r="I11" s="6">
        <f t="shared" ref="I11" si="52">ROUND(E11*255,0)</f>
        <v>127</v>
      </c>
      <c r="J11" s="7" t="str">
        <f>DEC2HEX(F11,2)</f>
        <v>E3</v>
      </c>
      <c r="K11" s="7" t="str">
        <f t="shared" si="46"/>
        <v>CD</v>
      </c>
      <c r="L11" s="7" t="str">
        <f t="shared" si="47"/>
        <v>D2</v>
      </c>
      <c r="M11" s="1" t="str">
        <f t="shared" si="48"/>
        <v>7F</v>
      </c>
      <c r="N11" s="7">
        <f t="shared" si="22"/>
        <v>113</v>
      </c>
      <c r="O11" s="7">
        <f t="shared" si="23"/>
        <v>102</v>
      </c>
      <c r="P11" s="1">
        <f t="shared" si="24"/>
        <v>105</v>
      </c>
      <c r="Q11" s="41">
        <f t="shared" si="13"/>
        <v>165</v>
      </c>
      <c r="R11" s="41">
        <f t="shared" si="14"/>
        <v>150</v>
      </c>
      <c r="S11" s="29">
        <f t="shared" si="15"/>
        <v>153</v>
      </c>
      <c r="T11" s="47"/>
      <c r="U11" s="54"/>
    </row>
    <row r="12" spans="1:21" x14ac:dyDescent="0.35">
      <c r="A12" s="39" t="str">
        <f t="shared" si="39"/>
        <v>Out γ = 2.2</v>
      </c>
      <c r="B12" s="26">
        <f>IF($E12=0,0,((B9^gamma*$E9+B10^gamma*$E10*(1-$E9))/$E12)^(1/gamma))</f>
        <v>0.91799220361829181</v>
      </c>
      <c r="C12" s="26">
        <f>IF($E12=0,0,((C9^gamma*$E9+C10^gamma*$E10*(1-$E9))/$E12)^(1/gamma))</f>
        <v>0.89647867792178682</v>
      </c>
      <c r="D12" s="26">
        <f>IF($E12=0,0,((D9^gamma*$E9+D10^gamma*$E10*(1-$E9))/$E12)^(1/gamma))</f>
        <v>0.89836682612725349</v>
      </c>
      <c r="E12" s="27">
        <f>E9+E10*(1-E9)</f>
        <v>0.49942329873125724</v>
      </c>
      <c r="F12" s="26">
        <f>ROUND(B12*255,0)</f>
        <v>234</v>
      </c>
      <c r="G12" s="26">
        <f t="shared" ref="G12" si="53">ROUND(C12*255,0)</f>
        <v>229</v>
      </c>
      <c r="H12" s="26">
        <f t="shared" ref="H12" si="54">ROUND(D12*255,0)</f>
        <v>229</v>
      </c>
      <c r="I12" s="27">
        <f t="shared" ref="I12" si="55">ROUND(E12*255,0)</f>
        <v>127</v>
      </c>
      <c r="J12" s="26" t="str">
        <f t="shared" si="45"/>
        <v>EA</v>
      </c>
      <c r="K12" s="26" t="str">
        <f t="shared" si="46"/>
        <v>E5</v>
      </c>
      <c r="L12" s="26" t="str">
        <f t="shared" si="47"/>
        <v>E5</v>
      </c>
      <c r="M12" s="27" t="str">
        <f t="shared" si="48"/>
        <v>7F</v>
      </c>
      <c r="N12" s="35">
        <f t="shared" si="22"/>
        <v>117</v>
      </c>
      <c r="O12" s="2">
        <f t="shared" si="23"/>
        <v>114</v>
      </c>
      <c r="P12" s="3">
        <f t="shared" si="24"/>
        <v>114</v>
      </c>
      <c r="Q12" s="43">
        <f t="shared" si="13"/>
        <v>171</v>
      </c>
      <c r="R12" s="26">
        <f t="shared" si="14"/>
        <v>167</v>
      </c>
      <c r="S12" s="27">
        <f t="shared" si="15"/>
        <v>167</v>
      </c>
      <c r="T12" s="50"/>
      <c r="U12" s="55"/>
    </row>
    <row r="13" spans="1:21" x14ac:dyDescent="0.35">
      <c r="A13" s="38" t="str">
        <f t="shared" si="39"/>
        <v>Src</v>
      </c>
      <c r="B13" s="7">
        <f t="shared" si="40"/>
        <v>0</v>
      </c>
      <c r="C13" s="7">
        <f t="shared" si="40"/>
        <v>0.20784313725490197</v>
      </c>
      <c r="D13" s="7">
        <f t="shared" si="40"/>
        <v>0.29019607843137257</v>
      </c>
      <c r="E13" s="1">
        <f>I13/255</f>
        <v>0.90196078431372551</v>
      </c>
      <c r="F13" s="7">
        <f t="shared" ref="F13:H13" si="56">HEX2DEC(J13)</f>
        <v>0</v>
      </c>
      <c r="G13" s="7">
        <f t="shared" si="56"/>
        <v>53</v>
      </c>
      <c r="H13" s="7">
        <f t="shared" si="56"/>
        <v>74</v>
      </c>
      <c r="I13" s="1">
        <f>HEX2DEC(M13)</f>
        <v>230</v>
      </c>
      <c r="J13" s="70" t="s">
        <v>5</v>
      </c>
      <c r="K13" s="70" t="s">
        <v>6</v>
      </c>
      <c r="L13" s="70" t="s">
        <v>7</v>
      </c>
      <c r="M13" s="71" t="s">
        <v>8</v>
      </c>
      <c r="N13" s="7">
        <f t="shared" si="22"/>
        <v>0</v>
      </c>
      <c r="O13" s="7">
        <f t="shared" si="23"/>
        <v>48</v>
      </c>
      <c r="P13" s="1">
        <f t="shared" si="24"/>
        <v>67</v>
      </c>
      <c r="Q13" s="41">
        <f t="shared" si="13"/>
        <v>0</v>
      </c>
      <c r="R13" s="41">
        <f t="shared" si="14"/>
        <v>51</v>
      </c>
      <c r="S13" s="29">
        <f t="shared" si="15"/>
        <v>71</v>
      </c>
      <c r="T13" s="48"/>
      <c r="U13" s="56"/>
    </row>
    <row r="14" spans="1:21" x14ac:dyDescent="0.35">
      <c r="A14" s="38" t="str">
        <f t="shared" si="39"/>
        <v>Dst</v>
      </c>
      <c r="B14" s="7">
        <f t="shared" ref="B14" si="57">F14/255</f>
        <v>0</v>
      </c>
      <c r="C14" s="7">
        <f t="shared" ref="C14" si="58">G14/255</f>
        <v>0</v>
      </c>
      <c r="D14" s="7">
        <f t="shared" ref="D14" si="59">H14/255</f>
        <v>0</v>
      </c>
      <c r="E14" s="1">
        <f>I14/255</f>
        <v>1</v>
      </c>
      <c r="F14" s="7">
        <f t="shared" ref="F14" si="60">HEX2DEC(J14)</f>
        <v>0</v>
      </c>
      <c r="G14" s="7">
        <f t="shared" ref="G14" si="61">HEX2DEC(K14)</f>
        <v>0</v>
      </c>
      <c r="H14" s="7">
        <f t="shared" ref="H14" si="62">HEX2DEC(L14)</f>
        <v>0</v>
      </c>
      <c r="I14" s="1">
        <f>HEX2DEC(M14)</f>
        <v>255</v>
      </c>
      <c r="J14" s="70" t="s">
        <v>5</v>
      </c>
      <c r="K14" s="70" t="s">
        <v>5</v>
      </c>
      <c r="L14" s="70" t="s">
        <v>5</v>
      </c>
      <c r="M14" s="71" t="s">
        <v>4</v>
      </c>
      <c r="N14" s="7">
        <f t="shared" si="22"/>
        <v>0</v>
      </c>
      <c r="O14" s="7">
        <f t="shared" si="23"/>
        <v>0</v>
      </c>
      <c r="P14" s="1">
        <f t="shared" si="24"/>
        <v>0</v>
      </c>
      <c r="Q14" s="41">
        <f t="shared" si="13"/>
        <v>0</v>
      </c>
      <c r="R14" s="41">
        <f t="shared" si="14"/>
        <v>0</v>
      </c>
      <c r="S14" s="29">
        <f t="shared" si="15"/>
        <v>0</v>
      </c>
      <c r="T14" s="49"/>
      <c r="U14" s="22"/>
    </row>
    <row r="15" spans="1:21" x14ac:dyDescent="0.35">
      <c r="A15" s="38" t="str">
        <f t="shared" si="39"/>
        <v>Out γ = 1</v>
      </c>
      <c r="B15" s="7">
        <f t="shared" ref="B15:D15" si="63">IF($E15=0,0,(B13*$E13+B14*$E14*(1-$E13))/$E15)</f>
        <v>0</v>
      </c>
      <c r="C15" s="7">
        <f t="shared" si="63"/>
        <v>0.18746635909265669</v>
      </c>
      <c r="D15" s="7">
        <f t="shared" si="63"/>
        <v>0.26174548250672819</v>
      </c>
      <c r="E15" s="1">
        <f>E13+E14*(1-E13)</f>
        <v>1</v>
      </c>
      <c r="F15" s="7">
        <f>ROUND(B15*255,0)</f>
        <v>0</v>
      </c>
      <c r="G15" s="7">
        <f t="shared" ref="G15" si="64">ROUND(C15*255,0)</f>
        <v>48</v>
      </c>
      <c r="H15" s="7">
        <f t="shared" ref="H15" si="65">ROUND(D15*255,0)</f>
        <v>67</v>
      </c>
      <c r="I15" s="1">
        <f t="shared" ref="I15" si="66">ROUND(E15*255,0)</f>
        <v>255</v>
      </c>
      <c r="J15" s="15" t="str">
        <f>DEC2HEX(F15,2)</f>
        <v>00</v>
      </c>
      <c r="K15" s="15" t="str">
        <f>DEC2HEX(G15,2)</f>
        <v>30</v>
      </c>
      <c r="L15" s="15" t="str">
        <f t="shared" ref="L15" si="67">DEC2HEX(H15,2)</f>
        <v>43</v>
      </c>
      <c r="M15" s="11" t="str">
        <f t="shared" ref="M15" si="68">DEC2HEX(I15,2)</f>
        <v>FF</v>
      </c>
      <c r="N15" s="7">
        <f t="shared" si="22"/>
        <v>0</v>
      </c>
      <c r="O15" s="7">
        <f t="shared" si="23"/>
        <v>48</v>
      </c>
      <c r="P15" s="1">
        <f t="shared" si="24"/>
        <v>67</v>
      </c>
      <c r="Q15" s="41">
        <f t="shared" si="13"/>
        <v>0</v>
      </c>
      <c r="R15" s="41">
        <f t="shared" si="14"/>
        <v>48</v>
      </c>
      <c r="S15" s="29">
        <f t="shared" si="15"/>
        <v>67</v>
      </c>
      <c r="T15" s="48"/>
      <c r="U15" s="16"/>
    </row>
    <row r="16" spans="1:21" x14ac:dyDescent="0.35">
      <c r="A16" s="39" t="str">
        <f t="shared" ref="A16" si="69">A12</f>
        <v>Out γ = 2.2</v>
      </c>
      <c r="B16" s="26">
        <f>IF($E16=0,0,((B13^gamma*$E13+B14^gamma*$E14*(1-$E13))/$E16)^(1/gamma))</f>
        <v>0</v>
      </c>
      <c r="C16" s="26">
        <f>IF($E16=0,0,((C13^gamma*$E13+C14^gamma*$E14*(1-$E13))/$E16)^(1/gamma))</f>
        <v>0.19831996709622166</v>
      </c>
      <c r="D16" s="26">
        <f>IF($E16=0,0,((D13^gamma*$E13+D14^gamma*$E14*(1-$E13))/$E16)^(1/gamma))</f>
        <v>0.27689957670038501</v>
      </c>
      <c r="E16" s="27">
        <f>E13+E14*(1-E13)</f>
        <v>1</v>
      </c>
      <c r="F16" s="26">
        <f>ROUND(B16*255,0)</f>
        <v>0</v>
      </c>
      <c r="G16" s="26">
        <f t="shared" ref="G16" si="70">ROUND(C16*255,0)</f>
        <v>51</v>
      </c>
      <c r="H16" s="26">
        <f t="shared" ref="H16" si="71">ROUND(D16*255,0)</f>
        <v>71</v>
      </c>
      <c r="I16" s="27">
        <f t="shared" ref="I16:I18" si="72">ROUND(E16*255,0)</f>
        <v>255</v>
      </c>
      <c r="J16" s="26" t="str">
        <f t="shared" ref="J16" si="73">DEC2HEX(F16,2)</f>
        <v>00</v>
      </c>
      <c r="K16" s="26" t="str">
        <f t="shared" ref="K16:K20" si="74">DEC2HEX(G16,2)</f>
        <v>33</v>
      </c>
      <c r="L16" s="26" t="str">
        <f t="shared" ref="L16:L20" si="75">DEC2HEX(H16,2)</f>
        <v>47</v>
      </c>
      <c r="M16" s="27" t="str">
        <f t="shared" ref="M16:M22" si="76">DEC2HEX(I16,2)</f>
        <v>FF</v>
      </c>
      <c r="N16" s="2">
        <f t="shared" si="22"/>
        <v>0</v>
      </c>
      <c r="O16" s="2">
        <f t="shared" si="23"/>
        <v>51</v>
      </c>
      <c r="P16" s="3">
        <f t="shared" si="24"/>
        <v>71</v>
      </c>
      <c r="Q16" s="43">
        <f t="shared" si="13"/>
        <v>0</v>
      </c>
      <c r="R16" s="26">
        <f t="shared" si="14"/>
        <v>51</v>
      </c>
      <c r="S16" s="27">
        <f t="shared" si="15"/>
        <v>71</v>
      </c>
      <c r="T16" s="51"/>
      <c r="U16" s="36"/>
    </row>
    <row r="17" spans="1:21" x14ac:dyDescent="0.35">
      <c r="A17" s="38" t="str">
        <f t="shared" si="39"/>
        <v>Src</v>
      </c>
      <c r="B17" s="7">
        <f t="shared" ref="B17:B18" si="77">F17/255</f>
        <v>0</v>
      </c>
      <c r="C17" s="7">
        <f t="shared" ref="C17:C18" si="78">G17/255</f>
        <v>0.30196078431372547</v>
      </c>
      <c r="D17" s="7">
        <f t="shared" ref="D17:D18" si="79">H17/255</f>
        <v>0.42352941176470588</v>
      </c>
      <c r="E17" s="59">
        <f>E23</f>
        <v>1</v>
      </c>
      <c r="F17" s="58">
        <f>F23</f>
        <v>0</v>
      </c>
      <c r="G17" s="58">
        <f t="shared" ref="G17:H17" si="80">G23</f>
        <v>77</v>
      </c>
      <c r="H17" s="58">
        <f t="shared" si="80"/>
        <v>108</v>
      </c>
      <c r="I17" s="6">
        <f t="shared" si="72"/>
        <v>255</v>
      </c>
      <c r="J17" s="7" t="str">
        <f>DEC2HEX(F17,2)</f>
        <v>00</v>
      </c>
      <c r="K17" s="7" t="str">
        <f t="shared" si="74"/>
        <v>4D</v>
      </c>
      <c r="L17" s="7" t="str">
        <f t="shared" si="75"/>
        <v>6C</v>
      </c>
      <c r="M17" s="1" t="str">
        <f t="shared" si="76"/>
        <v>FF</v>
      </c>
      <c r="N17" s="7">
        <f t="shared" ref="N17:N24" si="81">ROUND((B17*$E17+N$1/255*(1-$E17))*255,0)</f>
        <v>0</v>
      </c>
      <c r="O17" s="7">
        <f t="shared" ref="O17:O24" si="82">ROUND((C17*$E17+O$1/255*(1-$E17))*255,0)</f>
        <v>77</v>
      </c>
      <c r="P17" s="1">
        <f t="shared" ref="P17:P24" si="83">ROUND((D17*$E17+P$1/255*(1-$E17))*255,0)</f>
        <v>108</v>
      </c>
      <c r="Q17" s="41">
        <f t="shared" si="13"/>
        <v>0</v>
      </c>
      <c r="R17" s="41">
        <f t="shared" si="14"/>
        <v>77</v>
      </c>
      <c r="S17" s="29">
        <f t="shared" si="15"/>
        <v>108</v>
      </c>
      <c r="T17" s="238"/>
      <c r="U17" s="276"/>
    </row>
    <row r="18" spans="1:21" x14ac:dyDescent="0.35">
      <c r="A18" s="38" t="str">
        <f t="shared" si="39"/>
        <v>Dst</v>
      </c>
      <c r="B18" s="7">
        <f t="shared" si="77"/>
        <v>0</v>
      </c>
      <c r="C18" s="7">
        <f t="shared" si="78"/>
        <v>0</v>
      </c>
      <c r="D18" s="7">
        <f t="shared" si="79"/>
        <v>0</v>
      </c>
      <c r="E18" s="59">
        <v>1</v>
      </c>
      <c r="F18" s="58">
        <v>0</v>
      </c>
      <c r="G18" s="58">
        <v>0</v>
      </c>
      <c r="H18" s="58">
        <v>0</v>
      </c>
      <c r="I18" s="6">
        <f t="shared" si="72"/>
        <v>255</v>
      </c>
      <c r="J18" s="7" t="str">
        <f t="shared" ref="J18" si="84">DEC2HEX(F18,2)</f>
        <v>00</v>
      </c>
      <c r="K18" s="7" t="str">
        <f t="shared" si="74"/>
        <v>00</v>
      </c>
      <c r="L18" s="7" t="str">
        <f t="shared" si="75"/>
        <v>00</v>
      </c>
      <c r="M18" s="1" t="str">
        <f t="shared" si="76"/>
        <v>FF</v>
      </c>
      <c r="N18" s="7">
        <f t="shared" si="81"/>
        <v>0</v>
      </c>
      <c r="O18" s="7">
        <f t="shared" si="82"/>
        <v>0</v>
      </c>
      <c r="P18" s="1">
        <f t="shared" si="83"/>
        <v>0</v>
      </c>
      <c r="Q18" s="41">
        <f t="shared" si="13"/>
        <v>0</v>
      </c>
      <c r="R18" s="41">
        <f t="shared" si="14"/>
        <v>0</v>
      </c>
      <c r="S18" s="29">
        <f t="shared" si="15"/>
        <v>0</v>
      </c>
      <c r="T18" s="49"/>
      <c r="U18" s="22"/>
    </row>
    <row r="19" spans="1:21" x14ac:dyDescent="0.35">
      <c r="A19" s="38" t="str">
        <f t="shared" si="39"/>
        <v>Out γ = 1</v>
      </c>
      <c r="B19" s="7">
        <f t="shared" ref="B19:D19" si="85">IF($E19=0,0,(B17*$E17+B18*$E18*(1-$E17))/$E19)</f>
        <v>0</v>
      </c>
      <c r="C19" s="7">
        <f t="shared" si="85"/>
        <v>0.30196078431372547</v>
      </c>
      <c r="D19" s="7">
        <f t="shared" si="85"/>
        <v>0.42352941176470588</v>
      </c>
      <c r="E19" s="1">
        <f>E17+E18*(1-E17)</f>
        <v>1</v>
      </c>
      <c r="F19" s="8">
        <f>ROUND(B19*255,0)</f>
        <v>0</v>
      </c>
      <c r="G19" s="8">
        <f t="shared" ref="G19:G20" si="86">ROUND(C19*255,0)</f>
        <v>77</v>
      </c>
      <c r="H19" s="8">
        <f t="shared" ref="H19:H20" si="87">ROUND(D19*255,0)</f>
        <v>108</v>
      </c>
      <c r="I19" s="6">
        <f t="shared" ref="I19:I22" si="88">ROUND(E19*255,0)</f>
        <v>255</v>
      </c>
      <c r="J19" s="7" t="str">
        <f>DEC2HEX(F19,2)</f>
        <v>00</v>
      </c>
      <c r="K19" s="7" t="str">
        <f t="shared" si="74"/>
        <v>4D</v>
      </c>
      <c r="L19" s="7" t="str">
        <f t="shared" si="75"/>
        <v>6C</v>
      </c>
      <c r="M19" s="1" t="str">
        <f t="shared" si="76"/>
        <v>FF</v>
      </c>
      <c r="N19" s="7">
        <f t="shared" si="81"/>
        <v>0</v>
      </c>
      <c r="O19" s="7">
        <f t="shared" si="82"/>
        <v>77</v>
      </c>
      <c r="P19" s="1">
        <f t="shared" si="83"/>
        <v>108</v>
      </c>
      <c r="Q19" s="41">
        <f t="shared" si="13"/>
        <v>0</v>
      </c>
      <c r="R19" s="41">
        <f t="shared" si="14"/>
        <v>77</v>
      </c>
      <c r="S19" s="29">
        <f t="shared" si="15"/>
        <v>108</v>
      </c>
      <c r="T19" s="238"/>
      <c r="U19" s="276"/>
    </row>
    <row r="20" spans="1:21" x14ac:dyDescent="0.35">
      <c r="A20" s="39" t="str">
        <f t="shared" si="39"/>
        <v>Out γ = 2.2</v>
      </c>
      <c r="B20" s="26">
        <f>IF($E20=0,0,((B17^gamma*$E17+B18^gamma*$E18*(1-$E17))/$E20)^(1/gamma))</f>
        <v>0</v>
      </c>
      <c r="C20" s="26">
        <f>IF($E20=0,0,((C17^gamma*$E17+C18^gamma*$E18*(1-$E17))/$E20)^(1/gamma))</f>
        <v>0.30196078431372542</v>
      </c>
      <c r="D20" s="26">
        <f>IF($E20=0,0,((D17^gamma*$E17+D18^gamma*$E18*(1-$E17))/$E20)^(1/gamma))</f>
        <v>0.42352941176470588</v>
      </c>
      <c r="E20" s="27">
        <f>E17+E18*(1-E17)</f>
        <v>1</v>
      </c>
      <c r="F20" s="26">
        <f>ROUND(B20*255,0)</f>
        <v>0</v>
      </c>
      <c r="G20" s="26">
        <f t="shared" si="86"/>
        <v>77</v>
      </c>
      <c r="H20" s="26">
        <f t="shared" si="87"/>
        <v>108</v>
      </c>
      <c r="I20" s="27">
        <f t="shared" si="88"/>
        <v>255</v>
      </c>
      <c r="J20" s="26" t="str">
        <f t="shared" ref="J20" si="89">DEC2HEX(F20,2)</f>
        <v>00</v>
      </c>
      <c r="K20" s="26" t="str">
        <f t="shared" si="74"/>
        <v>4D</v>
      </c>
      <c r="L20" s="26" t="str">
        <f t="shared" si="75"/>
        <v>6C</v>
      </c>
      <c r="M20" s="27" t="str">
        <f t="shared" si="76"/>
        <v>FF</v>
      </c>
      <c r="N20" s="35">
        <f t="shared" si="81"/>
        <v>0</v>
      </c>
      <c r="O20" s="2">
        <f t="shared" si="82"/>
        <v>77</v>
      </c>
      <c r="P20" s="3">
        <f t="shared" si="83"/>
        <v>108</v>
      </c>
      <c r="Q20" s="43">
        <f t="shared" si="13"/>
        <v>0</v>
      </c>
      <c r="R20" s="26">
        <f t="shared" si="14"/>
        <v>77</v>
      </c>
      <c r="S20" s="27">
        <f t="shared" si="15"/>
        <v>108</v>
      </c>
      <c r="T20" s="277"/>
      <c r="U20" s="278"/>
    </row>
    <row r="21" spans="1:21" x14ac:dyDescent="0.35">
      <c r="A21" s="38" t="str">
        <f t="shared" si="39"/>
        <v>Src</v>
      </c>
      <c r="B21" s="7">
        <f t="shared" ref="B21:B22" si="90">F21/255</f>
        <v>0</v>
      </c>
      <c r="C21" s="7">
        <f t="shared" ref="C21:C22" si="91">G21/255</f>
        <v>0.5725490196078431</v>
      </c>
      <c r="D21" s="7">
        <f t="shared" ref="D21" si="92">H21/255</f>
        <v>0.8</v>
      </c>
      <c r="E21" s="59">
        <v>0.3</v>
      </c>
      <c r="F21" s="7">
        <f t="shared" ref="F21:F22" si="93">HEX2DEC(J21)</f>
        <v>0</v>
      </c>
      <c r="G21" s="7">
        <f t="shared" ref="G21:G22" si="94">HEX2DEC(K21)</f>
        <v>146</v>
      </c>
      <c r="H21" s="7">
        <f t="shared" ref="H21:H22" si="95">HEX2DEC(L21)</f>
        <v>204</v>
      </c>
      <c r="I21" s="1">
        <f t="shared" si="88"/>
        <v>77</v>
      </c>
      <c r="J21" s="70" t="s">
        <v>5</v>
      </c>
      <c r="K21" s="70" t="s">
        <v>52</v>
      </c>
      <c r="L21" s="70" t="s">
        <v>53</v>
      </c>
      <c r="M21" s="11" t="str">
        <f t="shared" si="76"/>
        <v>4D</v>
      </c>
      <c r="N21" s="7">
        <f t="shared" si="81"/>
        <v>0</v>
      </c>
      <c r="O21" s="7">
        <f t="shared" si="82"/>
        <v>44</v>
      </c>
      <c r="P21" s="1">
        <f t="shared" si="83"/>
        <v>61</v>
      </c>
      <c r="Q21" s="41">
        <f t="shared" si="13"/>
        <v>0</v>
      </c>
      <c r="R21" s="41">
        <f t="shared" si="14"/>
        <v>84</v>
      </c>
      <c r="S21" s="29">
        <f t="shared" si="15"/>
        <v>118</v>
      </c>
      <c r="T21" s="153"/>
      <c r="U21" s="154"/>
    </row>
    <row r="22" spans="1:21" x14ac:dyDescent="0.35">
      <c r="A22" s="38" t="str">
        <f t="shared" si="39"/>
        <v>Dst</v>
      </c>
      <c r="B22" s="7">
        <f t="shared" si="90"/>
        <v>0</v>
      </c>
      <c r="C22" s="7">
        <f t="shared" si="91"/>
        <v>0.18823529411764706</v>
      </c>
      <c r="D22" s="7">
        <f t="shared" ref="D22" si="96">H22/255</f>
        <v>0.2627450980392157</v>
      </c>
      <c r="E22" s="59">
        <v>1</v>
      </c>
      <c r="F22" s="7">
        <f t="shared" si="93"/>
        <v>0</v>
      </c>
      <c r="G22" s="7">
        <f t="shared" si="94"/>
        <v>48</v>
      </c>
      <c r="H22" s="7">
        <f t="shared" si="95"/>
        <v>67</v>
      </c>
      <c r="I22" s="1">
        <f t="shared" si="88"/>
        <v>255</v>
      </c>
      <c r="J22" s="70" t="s">
        <v>5</v>
      </c>
      <c r="K22" s="70" t="s">
        <v>74</v>
      </c>
      <c r="L22" s="70" t="s">
        <v>79</v>
      </c>
      <c r="M22" s="11" t="str">
        <f t="shared" si="76"/>
        <v>FF</v>
      </c>
      <c r="N22" s="7">
        <f t="shared" si="81"/>
        <v>0</v>
      </c>
      <c r="O22" s="7">
        <f t="shared" si="82"/>
        <v>48</v>
      </c>
      <c r="P22" s="1">
        <f t="shared" si="83"/>
        <v>67</v>
      </c>
      <c r="Q22" s="41">
        <f t="shared" si="13"/>
        <v>0</v>
      </c>
      <c r="R22" s="41">
        <f t="shared" si="14"/>
        <v>48</v>
      </c>
      <c r="S22" s="29">
        <f t="shared" si="15"/>
        <v>67</v>
      </c>
      <c r="T22" s="48"/>
      <c r="U22" s="16"/>
    </row>
    <row r="23" spans="1:21" x14ac:dyDescent="0.35">
      <c r="A23" s="38" t="str">
        <f t="shared" si="39"/>
        <v>Out γ = 1</v>
      </c>
      <c r="B23" s="7">
        <f t="shared" ref="B23:D23" si="97">IF($E23=0,0,(B21*$E21+B22*$E22*(1-$E21))/$E23)</f>
        <v>0</v>
      </c>
      <c r="C23" s="7">
        <f t="shared" si="97"/>
        <v>0.30352941176470583</v>
      </c>
      <c r="D23" s="7">
        <f t="shared" si="97"/>
        <v>0.42392156862745101</v>
      </c>
      <c r="E23" s="1">
        <f>E21+E22*(1-E21)</f>
        <v>1</v>
      </c>
      <c r="F23" s="7">
        <f>ROUND(B23*255,0)</f>
        <v>0</v>
      </c>
      <c r="G23" s="7">
        <f t="shared" ref="G23:G24" si="98">ROUND(C23*255,0)</f>
        <v>77</v>
      </c>
      <c r="H23" s="7">
        <f t="shared" ref="H23:H24" si="99">ROUND(D23*255,0)</f>
        <v>108</v>
      </c>
      <c r="I23" s="1">
        <f t="shared" ref="I23:I24" si="100">ROUND(E23*255,0)</f>
        <v>255</v>
      </c>
      <c r="J23" s="15" t="str">
        <f>DEC2HEX(F23,2)</f>
        <v>00</v>
      </c>
      <c r="K23" s="15" t="str">
        <f>DEC2HEX(G23,2)</f>
        <v>4D</v>
      </c>
      <c r="L23" s="15" t="str">
        <f t="shared" ref="L23:L24" si="101">DEC2HEX(H23,2)</f>
        <v>6C</v>
      </c>
      <c r="M23" s="11" t="str">
        <f t="shared" ref="M23:M24" si="102">DEC2HEX(I23,2)</f>
        <v>FF</v>
      </c>
      <c r="N23" s="7">
        <f t="shared" si="81"/>
        <v>0</v>
      </c>
      <c r="O23" s="7">
        <f t="shared" si="82"/>
        <v>77</v>
      </c>
      <c r="P23" s="1">
        <f t="shared" si="83"/>
        <v>108</v>
      </c>
      <c r="Q23" s="41">
        <f t="shared" si="13"/>
        <v>0</v>
      </c>
      <c r="R23" s="41">
        <f t="shared" si="14"/>
        <v>77</v>
      </c>
      <c r="S23" s="29">
        <f t="shared" si="15"/>
        <v>108</v>
      </c>
      <c r="T23" s="238"/>
      <c r="U23" s="276"/>
    </row>
    <row r="24" spans="1:21" x14ac:dyDescent="0.35">
      <c r="A24" s="39" t="str">
        <f t="shared" si="39"/>
        <v>Out γ = 2.2</v>
      </c>
      <c r="B24" s="26">
        <f>IF($E24=0,0,((B21^gamma*$E21+B22^gamma*$E22*(1-$E21))/$E24)^(1/gamma))</f>
        <v>0</v>
      </c>
      <c r="C24" s="26">
        <f>IF($E24=0,0,((C21^gamma*$E21+C22^gamma*$E22*(1-$E21))/$E24)^(1/gamma))</f>
        <v>0.36011724429016478</v>
      </c>
      <c r="D24" s="26">
        <f>IF($E24=0,0,((D21^gamma*$E21+D22^gamma*$E22*(1-$E21))/$E24)^(1/gamma))</f>
        <v>0.50309124300703434</v>
      </c>
      <c r="E24" s="27">
        <f>E21+E22*(1-E21)</f>
        <v>1</v>
      </c>
      <c r="F24" s="26">
        <f>ROUND(B24*255,0)</f>
        <v>0</v>
      </c>
      <c r="G24" s="26">
        <f t="shared" si="98"/>
        <v>92</v>
      </c>
      <c r="H24" s="26">
        <f t="shared" si="99"/>
        <v>128</v>
      </c>
      <c r="I24" s="27">
        <f t="shared" si="100"/>
        <v>255</v>
      </c>
      <c r="J24" s="26" t="str">
        <f t="shared" ref="J24" si="103">DEC2HEX(F24,2)</f>
        <v>00</v>
      </c>
      <c r="K24" s="26" t="str">
        <f t="shared" ref="K24" si="104">DEC2HEX(G24,2)</f>
        <v>5C</v>
      </c>
      <c r="L24" s="26" t="str">
        <f t="shared" si="101"/>
        <v>80</v>
      </c>
      <c r="M24" s="27" t="str">
        <f t="shared" si="102"/>
        <v>FF</v>
      </c>
      <c r="N24" s="2">
        <f t="shared" si="81"/>
        <v>0</v>
      </c>
      <c r="O24" s="2">
        <f t="shared" si="82"/>
        <v>92</v>
      </c>
      <c r="P24" s="3">
        <f t="shared" si="83"/>
        <v>128</v>
      </c>
      <c r="Q24" s="43">
        <f t="shared" si="13"/>
        <v>0</v>
      </c>
      <c r="R24" s="26">
        <f t="shared" si="14"/>
        <v>92</v>
      </c>
      <c r="S24" s="27">
        <f t="shared" si="15"/>
        <v>128</v>
      </c>
      <c r="T24" s="318"/>
      <c r="U24" s="319"/>
    </row>
  </sheetData>
  <sheetProtection sheet="1" objects="1" scenarios="1" formatCells="0"/>
  <mergeCells count="6">
    <mergeCell ref="T2:U2"/>
    <mergeCell ref="A1:M1"/>
    <mergeCell ref="B2:M3"/>
    <mergeCell ref="N3:P3"/>
    <mergeCell ref="Q3:S3"/>
    <mergeCell ref="N2:S2"/>
  </mergeCells>
  <hyperlinks>
    <hyperlink ref="A1" r:id="rId1" location="Alpha_blending" xr:uid="{00000000-0004-0000-0400-000000000000}"/>
  </hyperlinks>
  <pageMargins left="0.98425196850393704" right="0.98425196850393704" top="0.98425196850393704" bottom="0.98425196850393704" header="0.39370078740157483" footer="0.39370078740157483"/>
  <pageSetup paperSize="9" orientation="landscape" r:id="rId2"/>
  <headerFooter>
    <oddHeader>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Y2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4.5" x14ac:dyDescent="0.35"/>
  <cols>
    <col min="1" max="9" width="6.7265625" customWidth="1"/>
    <col min="10" max="21" width="4.7265625" customWidth="1"/>
    <col min="22" max="25" width="8.7265625" customWidth="1"/>
  </cols>
  <sheetData>
    <row r="1" spans="1:25" x14ac:dyDescent="0.35">
      <c r="A1" s="509" t="s">
        <v>16</v>
      </c>
      <c r="B1" s="510"/>
      <c r="C1" s="510"/>
      <c r="D1" s="510"/>
      <c r="E1" s="510"/>
      <c r="F1" s="510"/>
      <c r="G1" s="510"/>
      <c r="H1" s="510"/>
      <c r="I1" s="511"/>
      <c r="J1" s="60">
        <v>0</v>
      </c>
      <c r="K1" s="61">
        <v>0</v>
      </c>
      <c r="L1" s="62">
        <v>0</v>
      </c>
      <c r="M1" s="23">
        <f>J1</f>
        <v>0</v>
      </c>
      <c r="N1" s="23">
        <f t="shared" ref="N1:U1" si="0">K1</f>
        <v>0</v>
      </c>
      <c r="O1" s="24">
        <f t="shared" si="0"/>
        <v>0</v>
      </c>
      <c r="P1" s="23">
        <f t="shared" si="0"/>
        <v>0</v>
      </c>
      <c r="Q1" s="23">
        <f t="shared" si="0"/>
        <v>0</v>
      </c>
      <c r="R1" s="24">
        <f t="shared" si="0"/>
        <v>0</v>
      </c>
      <c r="S1" s="23">
        <f t="shared" si="0"/>
        <v>0</v>
      </c>
      <c r="T1" s="23">
        <f t="shared" si="0"/>
        <v>0</v>
      </c>
      <c r="U1" s="24">
        <f t="shared" si="0"/>
        <v>0</v>
      </c>
      <c r="V1" s="67"/>
      <c r="W1" s="67"/>
      <c r="X1" s="67"/>
      <c r="Y1" s="68"/>
    </row>
    <row r="2" spans="1:25" x14ac:dyDescent="0.35">
      <c r="A2" s="72" t="s">
        <v>20</v>
      </c>
      <c r="B2" s="490" t="s">
        <v>23</v>
      </c>
      <c r="C2" s="491"/>
      <c r="D2" s="491"/>
      <c r="E2" s="491"/>
      <c r="F2" s="491"/>
      <c r="G2" s="491"/>
      <c r="H2" s="491"/>
      <c r="I2" s="492"/>
      <c r="J2" s="490" t="s">
        <v>25</v>
      </c>
      <c r="K2" s="491"/>
      <c r="L2" s="491"/>
      <c r="M2" s="491"/>
      <c r="N2" s="491"/>
      <c r="O2" s="491"/>
      <c r="P2" s="491"/>
      <c r="Q2" s="491"/>
      <c r="R2" s="491"/>
      <c r="S2" s="491"/>
      <c r="T2" s="491"/>
      <c r="U2" s="492"/>
      <c r="V2" s="490" t="s">
        <v>21</v>
      </c>
      <c r="W2" s="491"/>
      <c r="X2" s="491"/>
      <c r="Y2" s="492"/>
    </row>
    <row r="3" spans="1:25" x14ac:dyDescent="0.35">
      <c r="A3" s="57">
        <v>2.2000000000000002</v>
      </c>
      <c r="B3" s="512" t="s">
        <v>18</v>
      </c>
      <c r="C3" s="513"/>
      <c r="D3" s="513"/>
      <c r="E3" s="514"/>
      <c r="F3" s="515" t="str">
        <f>"γ = "&amp;gamma</f>
        <v>γ = 2.2</v>
      </c>
      <c r="G3" s="516"/>
      <c r="H3" s="516"/>
      <c r="I3" s="517"/>
      <c r="J3" s="490" t="str">
        <f>B3</f>
        <v>γ = 1</v>
      </c>
      <c r="K3" s="491"/>
      <c r="L3" s="492"/>
      <c r="M3" s="490" t="str">
        <f>F3</f>
        <v>γ = 2.2</v>
      </c>
      <c r="N3" s="491"/>
      <c r="O3" s="492"/>
      <c r="P3" s="493" t="str">
        <f>B3</f>
        <v>γ = 1</v>
      </c>
      <c r="Q3" s="494"/>
      <c r="R3" s="495"/>
      <c r="S3" s="494" t="str">
        <f>F3</f>
        <v>γ = 2.2</v>
      </c>
      <c r="T3" s="494"/>
      <c r="U3" s="495"/>
      <c r="V3" s="19" t="str">
        <f>B3</f>
        <v>γ = 1</v>
      </c>
      <c r="W3" s="20" t="str">
        <f>F3</f>
        <v>γ = 2.2</v>
      </c>
      <c r="X3" s="31" t="str">
        <f>B3</f>
        <v>γ = 1</v>
      </c>
      <c r="Y3" s="32" t="str">
        <f>F3</f>
        <v>γ = 2.2</v>
      </c>
    </row>
    <row r="4" spans="1:25" x14ac:dyDescent="0.35">
      <c r="A4" s="13" t="s">
        <v>17</v>
      </c>
      <c r="B4" s="2" t="s">
        <v>0</v>
      </c>
      <c r="C4" s="2" t="s">
        <v>1</v>
      </c>
      <c r="D4" s="2" t="s">
        <v>2</v>
      </c>
      <c r="E4" s="3" t="s">
        <v>3</v>
      </c>
      <c r="F4" s="26" t="str">
        <f>B4</f>
        <v>R</v>
      </c>
      <c r="G4" s="26" t="str">
        <f t="shared" ref="G4:L5" si="1">C4</f>
        <v>G</v>
      </c>
      <c r="H4" s="26" t="str">
        <f t="shared" si="1"/>
        <v>B</v>
      </c>
      <c r="I4" s="27" t="str">
        <f t="shared" si="1"/>
        <v>A</v>
      </c>
      <c r="J4" s="2" t="str">
        <f t="shared" si="1"/>
        <v>R</v>
      </c>
      <c r="K4" s="2" t="str">
        <f t="shared" si="1"/>
        <v>G</v>
      </c>
      <c r="L4" s="3" t="str">
        <f t="shared" si="1"/>
        <v>B</v>
      </c>
      <c r="M4" s="2" t="str">
        <f>J4</f>
        <v>R</v>
      </c>
      <c r="N4" s="2" t="str">
        <f t="shared" ref="N4:O4" si="2">K4</f>
        <v>G</v>
      </c>
      <c r="O4" s="3" t="str">
        <f t="shared" si="2"/>
        <v>B</v>
      </c>
      <c r="P4" s="26" t="str">
        <f t="shared" ref="P4" si="3">M4</f>
        <v>R</v>
      </c>
      <c r="Q4" s="26" t="str">
        <f t="shared" ref="Q4" si="4">N4</f>
        <v>G</v>
      </c>
      <c r="R4" s="27" t="str">
        <f t="shared" ref="R4" si="5">O4</f>
        <v>B</v>
      </c>
      <c r="S4" s="26" t="str">
        <f t="shared" ref="S4" si="6">P4</f>
        <v>R</v>
      </c>
      <c r="T4" s="26" t="str">
        <f t="shared" ref="T4" si="7">Q4</f>
        <v>G</v>
      </c>
      <c r="U4" s="27" t="str">
        <f t="shared" ref="U4" si="8">R4</f>
        <v>B</v>
      </c>
      <c r="V4" s="33" t="s">
        <v>13</v>
      </c>
      <c r="W4" s="4" t="str">
        <f>V4</f>
        <v>Color</v>
      </c>
      <c r="X4" s="26" t="str">
        <f t="shared" ref="X4:Y4" si="9">W4</f>
        <v>Color</v>
      </c>
      <c r="Y4" s="27" t="str">
        <f t="shared" si="9"/>
        <v>Color</v>
      </c>
    </row>
    <row r="5" spans="1:25" x14ac:dyDescent="0.35">
      <c r="A5" s="17">
        <v>0</v>
      </c>
      <c r="B5" s="58">
        <v>1</v>
      </c>
      <c r="C5" s="58">
        <v>0</v>
      </c>
      <c r="D5" s="58">
        <v>0</v>
      </c>
      <c r="E5" s="59">
        <v>1</v>
      </c>
      <c r="F5" s="28">
        <f>B5</f>
        <v>1</v>
      </c>
      <c r="G5" s="28">
        <f t="shared" si="1"/>
        <v>0</v>
      </c>
      <c r="H5" s="28">
        <f t="shared" si="1"/>
        <v>0</v>
      </c>
      <c r="I5" s="29">
        <f t="shared" si="1"/>
        <v>1</v>
      </c>
      <c r="J5" s="7">
        <f>ROUND((B5*$E5+J$1/255*(1-$E5))*255,0)</f>
        <v>255</v>
      </c>
      <c r="K5" s="7">
        <f t="shared" ref="K5:K25" si="10">ROUND((C5*$E5+K$1/255*(1-$E5))*255,0)</f>
        <v>0</v>
      </c>
      <c r="L5" s="1">
        <f t="shared" ref="L5:L25" si="11">ROUND((D5*$E5+L$1/255*(1-$E5))*255,0)</f>
        <v>0</v>
      </c>
      <c r="M5" s="7">
        <f t="shared" ref="M5:M25" si="12">ROUND((B5^gamma*$E5+(M$1/255)^gamma*(1-$E5))^(1/gamma)*255,0)</f>
        <v>255</v>
      </c>
      <c r="N5" s="7">
        <f t="shared" ref="N5:N25" si="13">ROUND((C5^gamma*$E5+(N$1/255)^gamma*(1-$E5))^(1/gamma)*255,0)</f>
        <v>0</v>
      </c>
      <c r="O5" s="1">
        <f t="shared" ref="O5:O25" si="14">ROUND((D5^gamma*$E5+(O$1/255)^gamma*(1-$E5))^(1/gamma)*255,0)</f>
        <v>0</v>
      </c>
      <c r="P5" s="28">
        <f>ROUND((F5*$I5+P$1/255*(1-$I5))*255,0)</f>
        <v>255</v>
      </c>
      <c r="Q5" s="28">
        <f t="shared" ref="Q5:R5" si="15">ROUND((G5*$I5+Q$1/255*(1-$I5))*255,0)</f>
        <v>0</v>
      </c>
      <c r="R5" s="29">
        <f t="shared" si="15"/>
        <v>0</v>
      </c>
      <c r="S5" s="28">
        <f t="shared" ref="S5:S25" si="16">ROUND((F5^gamma*$I5+(S$1/255)^gamma*(1-$I5))^(1/gamma)*255,0)</f>
        <v>255</v>
      </c>
      <c r="T5" s="28">
        <f t="shared" ref="T5:T25" si="17">ROUND((G5^gamma*$I5+(T$1/255)^gamma*(1-$I5))^(1/gamma)*255,0)</f>
        <v>0</v>
      </c>
      <c r="U5" s="29">
        <f t="shared" ref="U5:U25" si="18">ROUND((H5^gamma*$I5+(U$1/255)^gamma*(1-$I5))^(1/gamma)*255,0)</f>
        <v>0</v>
      </c>
      <c r="V5" s="321"/>
      <c r="W5" s="321"/>
      <c r="X5" s="321"/>
      <c r="Y5" s="69"/>
    </row>
    <row r="6" spans="1:25" x14ac:dyDescent="0.35">
      <c r="A6" s="18">
        <f t="shared" ref="A6:A24" si="19">(A$25-A$5)/(ROW(A$25)-ROW(A$5))*(ROW()-ROW(A$5))</f>
        <v>0.05</v>
      </c>
      <c r="B6" s="8">
        <f t="shared" ref="B6:E24" si="20">(1-$A6)*B$5+$A6*B$25</f>
        <v>0.95</v>
      </c>
      <c r="C6" s="8">
        <f t="shared" si="20"/>
        <v>0.05</v>
      </c>
      <c r="D6" s="8">
        <f t="shared" si="20"/>
        <v>0</v>
      </c>
      <c r="E6" s="6">
        <f t="shared" si="20"/>
        <v>1</v>
      </c>
      <c r="F6" s="28">
        <f t="shared" ref="F6:H24" si="21">((1-$A6)*F$5^gamma+$A6*F$25^gamma)^(1/gamma)</f>
        <v>0.97695456384146917</v>
      </c>
      <c r="G6" s="28">
        <f t="shared" si="21"/>
        <v>0.25622572416600603</v>
      </c>
      <c r="H6" s="28">
        <f t="shared" si="21"/>
        <v>0</v>
      </c>
      <c r="I6" s="29">
        <f t="shared" ref="I6:I24" si="22">(1-$A6)*I$5+$A6*I$25</f>
        <v>1</v>
      </c>
      <c r="J6" s="8">
        <f t="shared" ref="J6:J25" si="23">ROUND((B6*$E6+J$1/255*(1-$E6))*255,0)</f>
        <v>242</v>
      </c>
      <c r="K6" s="8">
        <f t="shared" si="10"/>
        <v>13</v>
      </c>
      <c r="L6" s="6">
        <f t="shared" si="11"/>
        <v>0</v>
      </c>
      <c r="M6" s="8">
        <f t="shared" si="12"/>
        <v>242</v>
      </c>
      <c r="N6" s="8">
        <f t="shared" si="13"/>
        <v>13</v>
      </c>
      <c r="O6" s="6">
        <f t="shared" si="14"/>
        <v>0</v>
      </c>
      <c r="P6" s="28">
        <f t="shared" ref="P6:P25" si="24">ROUND((F6*$I6+P$1/255*(1-$I6))*255,0)</f>
        <v>249</v>
      </c>
      <c r="Q6" s="28">
        <f t="shared" ref="Q6:Q25" si="25">ROUND((G6*$I6+Q$1/255*(1-$I6))*255,0)</f>
        <v>65</v>
      </c>
      <c r="R6" s="29">
        <f t="shared" ref="R6:R25" si="26">ROUND((H6*$I6+R$1/255*(1-$I6))*255,0)</f>
        <v>0</v>
      </c>
      <c r="S6" s="28">
        <f t="shared" si="16"/>
        <v>249</v>
      </c>
      <c r="T6" s="28">
        <f t="shared" si="17"/>
        <v>65</v>
      </c>
      <c r="U6" s="29">
        <f t="shared" si="18"/>
        <v>0</v>
      </c>
      <c r="V6" s="322"/>
      <c r="W6" s="322"/>
      <c r="X6" s="341"/>
      <c r="Y6" s="360"/>
    </row>
    <row r="7" spans="1:25" x14ac:dyDescent="0.35">
      <c r="A7" s="18">
        <f t="shared" si="19"/>
        <v>0.1</v>
      </c>
      <c r="B7" s="8">
        <f t="shared" si="20"/>
        <v>0.9</v>
      </c>
      <c r="C7" s="8">
        <f t="shared" si="20"/>
        <v>0.1</v>
      </c>
      <c r="D7" s="8">
        <f t="shared" si="20"/>
        <v>0</v>
      </c>
      <c r="E7" s="6">
        <f t="shared" si="20"/>
        <v>1</v>
      </c>
      <c r="F7" s="28">
        <f t="shared" si="21"/>
        <v>0.95323754755126877</v>
      </c>
      <c r="G7" s="28">
        <f t="shared" si="21"/>
        <v>0.35111917342151316</v>
      </c>
      <c r="H7" s="28">
        <f t="shared" si="21"/>
        <v>0</v>
      </c>
      <c r="I7" s="29">
        <f t="shared" si="22"/>
        <v>1</v>
      </c>
      <c r="J7" s="8">
        <f t="shared" si="23"/>
        <v>230</v>
      </c>
      <c r="K7" s="8">
        <f t="shared" si="10"/>
        <v>26</v>
      </c>
      <c r="L7" s="6">
        <f t="shared" si="11"/>
        <v>0</v>
      </c>
      <c r="M7" s="8">
        <f t="shared" si="12"/>
        <v>230</v>
      </c>
      <c r="N7" s="8">
        <f t="shared" si="13"/>
        <v>26</v>
      </c>
      <c r="O7" s="6">
        <f t="shared" si="14"/>
        <v>0</v>
      </c>
      <c r="P7" s="28">
        <f t="shared" si="24"/>
        <v>243</v>
      </c>
      <c r="Q7" s="28">
        <f t="shared" si="25"/>
        <v>90</v>
      </c>
      <c r="R7" s="29">
        <f t="shared" si="26"/>
        <v>0</v>
      </c>
      <c r="S7" s="28">
        <f t="shared" si="16"/>
        <v>243</v>
      </c>
      <c r="T7" s="28">
        <f t="shared" si="17"/>
        <v>90</v>
      </c>
      <c r="U7" s="29">
        <f t="shared" si="18"/>
        <v>0</v>
      </c>
      <c r="V7" s="323"/>
      <c r="W7" s="323"/>
      <c r="X7" s="342"/>
      <c r="Y7" s="361"/>
    </row>
    <row r="8" spans="1:25" x14ac:dyDescent="0.35">
      <c r="A8" s="18">
        <f t="shared" si="19"/>
        <v>0.15000000000000002</v>
      </c>
      <c r="B8" s="8">
        <f t="shared" si="20"/>
        <v>0.85</v>
      </c>
      <c r="C8" s="8">
        <f t="shared" si="20"/>
        <v>0.15000000000000002</v>
      </c>
      <c r="D8" s="8">
        <f t="shared" si="20"/>
        <v>0</v>
      </c>
      <c r="E8" s="6">
        <f t="shared" si="20"/>
        <v>1</v>
      </c>
      <c r="F8" s="28">
        <f t="shared" si="21"/>
        <v>0.92879034788406478</v>
      </c>
      <c r="G8" s="28">
        <f t="shared" si="21"/>
        <v>0.4221784167211548</v>
      </c>
      <c r="H8" s="28">
        <f t="shared" si="21"/>
        <v>0</v>
      </c>
      <c r="I8" s="29">
        <f t="shared" si="22"/>
        <v>1</v>
      </c>
      <c r="J8" s="8">
        <f t="shared" si="23"/>
        <v>217</v>
      </c>
      <c r="K8" s="8">
        <f t="shared" si="10"/>
        <v>38</v>
      </c>
      <c r="L8" s="6">
        <f t="shared" si="11"/>
        <v>0</v>
      </c>
      <c r="M8" s="8">
        <f t="shared" si="12"/>
        <v>217</v>
      </c>
      <c r="N8" s="8">
        <f t="shared" si="13"/>
        <v>38</v>
      </c>
      <c r="O8" s="6">
        <f t="shared" si="14"/>
        <v>0</v>
      </c>
      <c r="P8" s="28">
        <f t="shared" si="24"/>
        <v>237</v>
      </c>
      <c r="Q8" s="28">
        <f t="shared" si="25"/>
        <v>108</v>
      </c>
      <c r="R8" s="29">
        <f t="shared" si="26"/>
        <v>0</v>
      </c>
      <c r="S8" s="28">
        <f t="shared" si="16"/>
        <v>237</v>
      </c>
      <c r="T8" s="28">
        <f t="shared" si="17"/>
        <v>108</v>
      </c>
      <c r="U8" s="29">
        <f t="shared" si="18"/>
        <v>0</v>
      </c>
      <c r="V8" s="324"/>
      <c r="W8" s="324"/>
      <c r="X8" s="343"/>
      <c r="Y8" s="362"/>
    </row>
    <row r="9" spans="1:25" x14ac:dyDescent="0.35">
      <c r="A9" s="18">
        <f t="shared" si="19"/>
        <v>0.2</v>
      </c>
      <c r="B9" s="8">
        <f t="shared" si="20"/>
        <v>0.8</v>
      </c>
      <c r="C9" s="8">
        <f t="shared" si="20"/>
        <v>0.2</v>
      </c>
      <c r="D9" s="8">
        <f t="shared" si="20"/>
        <v>0</v>
      </c>
      <c r="E9" s="6">
        <f t="shared" si="20"/>
        <v>1</v>
      </c>
      <c r="F9" s="28">
        <f t="shared" si="21"/>
        <v>0.90354543091909445</v>
      </c>
      <c r="G9" s="28">
        <f t="shared" si="21"/>
        <v>0.48115650505228641</v>
      </c>
      <c r="H9" s="28">
        <f t="shared" si="21"/>
        <v>0</v>
      </c>
      <c r="I9" s="29">
        <f t="shared" si="22"/>
        <v>1</v>
      </c>
      <c r="J9" s="8">
        <f t="shared" si="23"/>
        <v>204</v>
      </c>
      <c r="K9" s="8">
        <f t="shared" si="10"/>
        <v>51</v>
      </c>
      <c r="L9" s="6">
        <f t="shared" si="11"/>
        <v>0</v>
      </c>
      <c r="M9" s="8">
        <f t="shared" si="12"/>
        <v>204</v>
      </c>
      <c r="N9" s="8">
        <f t="shared" si="13"/>
        <v>51</v>
      </c>
      <c r="O9" s="6">
        <f t="shared" si="14"/>
        <v>0</v>
      </c>
      <c r="P9" s="28">
        <f t="shared" si="24"/>
        <v>230</v>
      </c>
      <c r="Q9" s="28">
        <f t="shared" si="25"/>
        <v>123</v>
      </c>
      <c r="R9" s="29">
        <f t="shared" si="26"/>
        <v>0</v>
      </c>
      <c r="S9" s="28">
        <f t="shared" si="16"/>
        <v>230</v>
      </c>
      <c r="T9" s="28">
        <f t="shared" si="17"/>
        <v>123</v>
      </c>
      <c r="U9" s="29">
        <f t="shared" si="18"/>
        <v>0</v>
      </c>
      <c r="V9" s="325"/>
      <c r="W9" s="325"/>
      <c r="X9" s="344"/>
      <c r="Y9" s="363"/>
    </row>
    <row r="10" spans="1:25" x14ac:dyDescent="0.35">
      <c r="A10" s="18">
        <f t="shared" si="19"/>
        <v>0.25</v>
      </c>
      <c r="B10" s="8">
        <f t="shared" si="20"/>
        <v>0.75</v>
      </c>
      <c r="C10" s="8">
        <f t="shared" si="20"/>
        <v>0.25</v>
      </c>
      <c r="D10" s="8">
        <f t="shared" si="20"/>
        <v>0</v>
      </c>
      <c r="E10" s="6">
        <f t="shared" si="20"/>
        <v>1</v>
      </c>
      <c r="F10" s="28">
        <f t="shared" si="21"/>
        <v>0.87742431472536653</v>
      </c>
      <c r="G10" s="28">
        <f t="shared" si="21"/>
        <v>0.53252054471998134</v>
      </c>
      <c r="H10" s="28">
        <f t="shared" si="21"/>
        <v>0</v>
      </c>
      <c r="I10" s="29">
        <f t="shared" si="22"/>
        <v>1</v>
      </c>
      <c r="J10" s="8">
        <f t="shared" si="23"/>
        <v>191</v>
      </c>
      <c r="K10" s="8">
        <f t="shared" si="10"/>
        <v>64</v>
      </c>
      <c r="L10" s="6">
        <f t="shared" si="11"/>
        <v>0</v>
      </c>
      <c r="M10" s="8">
        <f t="shared" si="12"/>
        <v>191</v>
      </c>
      <c r="N10" s="8">
        <f t="shared" si="13"/>
        <v>64</v>
      </c>
      <c r="O10" s="6">
        <f t="shared" si="14"/>
        <v>0</v>
      </c>
      <c r="P10" s="28">
        <f t="shared" si="24"/>
        <v>224</v>
      </c>
      <c r="Q10" s="28">
        <f t="shared" si="25"/>
        <v>136</v>
      </c>
      <c r="R10" s="29">
        <f t="shared" si="26"/>
        <v>0</v>
      </c>
      <c r="S10" s="28">
        <f t="shared" si="16"/>
        <v>224</v>
      </c>
      <c r="T10" s="28">
        <f t="shared" si="17"/>
        <v>136</v>
      </c>
      <c r="U10" s="29">
        <f t="shared" si="18"/>
        <v>0</v>
      </c>
      <c r="V10" s="326"/>
      <c r="W10" s="326"/>
      <c r="X10" s="345"/>
      <c r="Y10" s="364"/>
    </row>
    <row r="11" spans="1:25" x14ac:dyDescent="0.35">
      <c r="A11" s="18">
        <f t="shared" si="19"/>
        <v>0.30000000000000004</v>
      </c>
      <c r="B11" s="8">
        <f t="shared" si="20"/>
        <v>0.7</v>
      </c>
      <c r="C11" s="8">
        <f t="shared" si="20"/>
        <v>0.30000000000000004</v>
      </c>
      <c r="D11" s="8">
        <f t="shared" si="20"/>
        <v>0</v>
      </c>
      <c r="E11" s="6">
        <f t="shared" si="20"/>
        <v>1</v>
      </c>
      <c r="F11" s="28">
        <f t="shared" si="21"/>
        <v>0.85033492770203023</v>
      </c>
      <c r="G11" s="28">
        <f t="shared" si="21"/>
        <v>0.57853260908141713</v>
      </c>
      <c r="H11" s="28">
        <f t="shared" si="21"/>
        <v>0</v>
      </c>
      <c r="I11" s="29">
        <f t="shared" si="22"/>
        <v>1</v>
      </c>
      <c r="J11" s="8">
        <f t="shared" si="23"/>
        <v>179</v>
      </c>
      <c r="K11" s="8">
        <f t="shared" si="10"/>
        <v>77</v>
      </c>
      <c r="L11" s="6">
        <f t="shared" si="11"/>
        <v>0</v>
      </c>
      <c r="M11" s="8">
        <f t="shared" si="12"/>
        <v>179</v>
      </c>
      <c r="N11" s="8">
        <f t="shared" si="13"/>
        <v>77</v>
      </c>
      <c r="O11" s="6">
        <f t="shared" si="14"/>
        <v>0</v>
      </c>
      <c r="P11" s="28">
        <f t="shared" si="24"/>
        <v>217</v>
      </c>
      <c r="Q11" s="28">
        <f t="shared" si="25"/>
        <v>148</v>
      </c>
      <c r="R11" s="29">
        <f t="shared" si="26"/>
        <v>0</v>
      </c>
      <c r="S11" s="28">
        <f t="shared" si="16"/>
        <v>217</v>
      </c>
      <c r="T11" s="28">
        <f t="shared" si="17"/>
        <v>148</v>
      </c>
      <c r="U11" s="29">
        <f t="shared" si="18"/>
        <v>0</v>
      </c>
      <c r="V11" s="327"/>
      <c r="W11" s="327"/>
      <c r="X11" s="346"/>
      <c r="Y11" s="365"/>
    </row>
    <row r="12" spans="1:25" x14ac:dyDescent="0.35">
      <c r="A12" s="18">
        <f t="shared" si="19"/>
        <v>0.35000000000000003</v>
      </c>
      <c r="B12" s="8">
        <f t="shared" si="20"/>
        <v>0.64999999999999991</v>
      </c>
      <c r="C12" s="8">
        <f t="shared" si="20"/>
        <v>0.35000000000000003</v>
      </c>
      <c r="D12" s="8">
        <f t="shared" si="20"/>
        <v>0</v>
      </c>
      <c r="E12" s="6">
        <f t="shared" si="20"/>
        <v>1</v>
      </c>
      <c r="F12" s="28">
        <f t="shared" si="21"/>
        <v>0.82216808948551789</v>
      </c>
      <c r="G12" s="28">
        <f t="shared" si="21"/>
        <v>0.62052345507359208</v>
      </c>
      <c r="H12" s="28">
        <f t="shared" si="21"/>
        <v>0</v>
      </c>
      <c r="I12" s="29">
        <f t="shared" si="22"/>
        <v>1</v>
      </c>
      <c r="J12" s="8">
        <f t="shared" si="23"/>
        <v>166</v>
      </c>
      <c r="K12" s="8">
        <f t="shared" si="10"/>
        <v>89</v>
      </c>
      <c r="L12" s="6">
        <f t="shared" si="11"/>
        <v>0</v>
      </c>
      <c r="M12" s="8">
        <f t="shared" si="12"/>
        <v>166</v>
      </c>
      <c r="N12" s="8">
        <f t="shared" si="13"/>
        <v>89</v>
      </c>
      <c r="O12" s="6">
        <f t="shared" si="14"/>
        <v>0</v>
      </c>
      <c r="P12" s="28">
        <f t="shared" si="24"/>
        <v>210</v>
      </c>
      <c r="Q12" s="28">
        <f t="shared" si="25"/>
        <v>158</v>
      </c>
      <c r="R12" s="29">
        <f t="shared" si="26"/>
        <v>0</v>
      </c>
      <c r="S12" s="28">
        <f t="shared" si="16"/>
        <v>210</v>
      </c>
      <c r="T12" s="28">
        <f t="shared" si="17"/>
        <v>158</v>
      </c>
      <c r="U12" s="29">
        <f t="shared" si="18"/>
        <v>0</v>
      </c>
      <c r="V12" s="328"/>
      <c r="W12" s="328"/>
      <c r="X12" s="347"/>
      <c r="Y12" s="366"/>
    </row>
    <row r="13" spans="1:25" x14ac:dyDescent="0.35">
      <c r="A13" s="18">
        <f t="shared" si="19"/>
        <v>0.4</v>
      </c>
      <c r="B13" s="8">
        <f t="shared" si="20"/>
        <v>0.6</v>
      </c>
      <c r="C13" s="8">
        <f t="shared" si="20"/>
        <v>0.4</v>
      </c>
      <c r="D13" s="8">
        <f t="shared" si="20"/>
        <v>0</v>
      </c>
      <c r="E13" s="6">
        <f t="shared" si="20"/>
        <v>1</v>
      </c>
      <c r="F13" s="28">
        <f t="shared" si="21"/>
        <v>0.79279273054742228</v>
      </c>
      <c r="G13" s="28">
        <f t="shared" si="21"/>
        <v>0.65935329050289393</v>
      </c>
      <c r="H13" s="28">
        <f t="shared" si="21"/>
        <v>0</v>
      </c>
      <c r="I13" s="29">
        <f t="shared" si="22"/>
        <v>1</v>
      </c>
      <c r="J13" s="8">
        <f t="shared" si="23"/>
        <v>153</v>
      </c>
      <c r="K13" s="8">
        <f t="shared" si="10"/>
        <v>102</v>
      </c>
      <c r="L13" s="6">
        <f t="shared" si="11"/>
        <v>0</v>
      </c>
      <c r="M13" s="8">
        <f t="shared" si="12"/>
        <v>153</v>
      </c>
      <c r="N13" s="8">
        <f t="shared" si="13"/>
        <v>102</v>
      </c>
      <c r="O13" s="6">
        <f t="shared" si="14"/>
        <v>0</v>
      </c>
      <c r="P13" s="28">
        <f t="shared" si="24"/>
        <v>202</v>
      </c>
      <c r="Q13" s="28">
        <f t="shared" si="25"/>
        <v>168</v>
      </c>
      <c r="R13" s="29">
        <f t="shared" si="26"/>
        <v>0</v>
      </c>
      <c r="S13" s="28">
        <f t="shared" si="16"/>
        <v>202</v>
      </c>
      <c r="T13" s="28">
        <f t="shared" si="17"/>
        <v>168</v>
      </c>
      <c r="U13" s="29">
        <f t="shared" si="18"/>
        <v>0</v>
      </c>
      <c r="V13" s="329"/>
      <c r="W13" s="329"/>
      <c r="X13" s="348"/>
      <c r="Y13" s="367"/>
    </row>
    <row r="14" spans="1:25" x14ac:dyDescent="0.35">
      <c r="A14" s="18">
        <f t="shared" si="19"/>
        <v>0.45</v>
      </c>
      <c r="B14" s="8">
        <f t="shared" si="20"/>
        <v>0.55000000000000004</v>
      </c>
      <c r="C14" s="8">
        <f t="shared" si="20"/>
        <v>0.45</v>
      </c>
      <c r="D14" s="8">
        <f t="shared" si="20"/>
        <v>0</v>
      </c>
      <c r="E14" s="6">
        <f t="shared" si="20"/>
        <v>1</v>
      </c>
      <c r="F14" s="28">
        <f t="shared" si="21"/>
        <v>0.76204925120830325</v>
      </c>
      <c r="G14" s="28">
        <f t="shared" si="21"/>
        <v>0.6956156183198241</v>
      </c>
      <c r="H14" s="28">
        <f t="shared" si="21"/>
        <v>0</v>
      </c>
      <c r="I14" s="29">
        <f t="shared" si="22"/>
        <v>1</v>
      </c>
      <c r="J14" s="8">
        <f t="shared" si="23"/>
        <v>140</v>
      </c>
      <c r="K14" s="8">
        <f t="shared" si="10"/>
        <v>115</v>
      </c>
      <c r="L14" s="6">
        <f t="shared" si="11"/>
        <v>0</v>
      </c>
      <c r="M14" s="8">
        <f t="shared" si="12"/>
        <v>140</v>
      </c>
      <c r="N14" s="8">
        <f t="shared" si="13"/>
        <v>115</v>
      </c>
      <c r="O14" s="6">
        <f t="shared" si="14"/>
        <v>0</v>
      </c>
      <c r="P14" s="28">
        <f t="shared" si="24"/>
        <v>194</v>
      </c>
      <c r="Q14" s="28">
        <f t="shared" si="25"/>
        <v>177</v>
      </c>
      <c r="R14" s="29">
        <f t="shared" si="26"/>
        <v>0</v>
      </c>
      <c r="S14" s="28">
        <f t="shared" si="16"/>
        <v>194</v>
      </c>
      <c r="T14" s="28">
        <f t="shared" si="17"/>
        <v>177</v>
      </c>
      <c r="U14" s="29">
        <f t="shared" si="18"/>
        <v>0</v>
      </c>
      <c r="V14" s="330"/>
      <c r="W14" s="330"/>
      <c r="X14" s="349"/>
      <c r="Y14" s="368"/>
    </row>
    <row r="15" spans="1:25" x14ac:dyDescent="0.35">
      <c r="A15" s="18">
        <f t="shared" si="19"/>
        <v>0.5</v>
      </c>
      <c r="B15" s="8">
        <f t="shared" si="20"/>
        <v>0.5</v>
      </c>
      <c r="C15" s="8">
        <f t="shared" si="20"/>
        <v>0.5</v>
      </c>
      <c r="D15" s="8">
        <f t="shared" si="20"/>
        <v>0</v>
      </c>
      <c r="E15" s="6">
        <f t="shared" si="20"/>
        <v>1</v>
      </c>
      <c r="F15" s="28">
        <f t="shared" si="21"/>
        <v>0.72974005284072307</v>
      </c>
      <c r="G15" s="28">
        <f t="shared" si="21"/>
        <v>0.72974005284072307</v>
      </c>
      <c r="H15" s="28">
        <f t="shared" si="21"/>
        <v>0</v>
      </c>
      <c r="I15" s="29">
        <f t="shared" si="22"/>
        <v>1</v>
      </c>
      <c r="J15" s="8">
        <f t="shared" si="23"/>
        <v>128</v>
      </c>
      <c r="K15" s="8">
        <f t="shared" si="10"/>
        <v>128</v>
      </c>
      <c r="L15" s="6">
        <f t="shared" si="11"/>
        <v>0</v>
      </c>
      <c r="M15" s="8">
        <f t="shared" si="12"/>
        <v>128</v>
      </c>
      <c r="N15" s="8">
        <f t="shared" si="13"/>
        <v>128</v>
      </c>
      <c r="O15" s="6">
        <f t="shared" si="14"/>
        <v>0</v>
      </c>
      <c r="P15" s="28">
        <f t="shared" si="24"/>
        <v>186</v>
      </c>
      <c r="Q15" s="28">
        <f t="shared" si="25"/>
        <v>186</v>
      </c>
      <c r="R15" s="29">
        <f t="shared" si="26"/>
        <v>0</v>
      </c>
      <c r="S15" s="28">
        <f t="shared" si="16"/>
        <v>186</v>
      </c>
      <c r="T15" s="28">
        <f t="shared" si="17"/>
        <v>186</v>
      </c>
      <c r="U15" s="29">
        <f t="shared" si="18"/>
        <v>0</v>
      </c>
      <c r="V15" s="331"/>
      <c r="W15" s="331"/>
      <c r="X15" s="350"/>
      <c r="Y15" s="369"/>
    </row>
    <row r="16" spans="1:25" x14ac:dyDescent="0.35">
      <c r="A16" s="18">
        <f t="shared" si="19"/>
        <v>0.55000000000000004</v>
      </c>
      <c r="B16" s="8">
        <f t="shared" si="20"/>
        <v>0.44999999999999996</v>
      </c>
      <c r="C16" s="8">
        <f t="shared" si="20"/>
        <v>0.55000000000000004</v>
      </c>
      <c r="D16" s="8">
        <f t="shared" si="20"/>
        <v>0</v>
      </c>
      <c r="E16" s="6">
        <f t="shared" si="20"/>
        <v>1</v>
      </c>
      <c r="F16" s="28">
        <f t="shared" si="21"/>
        <v>0.6956156183198241</v>
      </c>
      <c r="G16" s="28">
        <f t="shared" si="21"/>
        <v>0.76204925120830325</v>
      </c>
      <c r="H16" s="28">
        <f t="shared" si="21"/>
        <v>0</v>
      </c>
      <c r="I16" s="29">
        <f t="shared" si="22"/>
        <v>1</v>
      </c>
      <c r="J16" s="8">
        <f t="shared" si="23"/>
        <v>115</v>
      </c>
      <c r="K16" s="8">
        <f t="shared" si="10"/>
        <v>140</v>
      </c>
      <c r="L16" s="6">
        <f t="shared" si="11"/>
        <v>0</v>
      </c>
      <c r="M16" s="8">
        <f t="shared" si="12"/>
        <v>115</v>
      </c>
      <c r="N16" s="8">
        <f t="shared" si="13"/>
        <v>140</v>
      </c>
      <c r="O16" s="6">
        <f t="shared" si="14"/>
        <v>0</v>
      </c>
      <c r="P16" s="28">
        <f t="shared" si="24"/>
        <v>177</v>
      </c>
      <c r="Q16" s="28">
        <f t="shared" si="25"/>
        <v>194</v>
      </c>
      <c r="R16" s="29">
        <f t="shared" si="26"/>
        <v>0</v>
      </c>
      <c r="S16" s="28">
        <f t="shared" si="16"/>
        <v>177</v>
      </c>
      <c r="T16" s="28">
        <f t="shared" si="17"/>
        <v>194</v>
      </c>
      <c r="U16" s="29">
        <f t="shared" si="18"/>
        <v>0</v>
      </c>
      <c r="V16" s="332"/>
      <c r="W16" s="332"/>
      <c r="X16" s="351"/>
      <c r="Y16" s="370"/>
    </row>
    <row r="17" spans="1:25" x14ac:dyDescent="0.35">
      <c r="A17" s="18">
        <f t="shared" si="19"/>
        <v>0.60000000000000009</v>
      </c>
      <c r="B17" s="8">
        <f t="shared" si="20"/>
        <v>0.39999999999999991</v>
      </c>
      <c r="C17" s="8">
        <f t="shared" si="20"/>
        <v>0.60000000000000009</v>
      </c>
      <c r="D17" s="8">
        <f t="shared" si="20"/>
        <v>0</v>
      </c>
      <c r="E17" s="6">
        <f t="shared" si="20"/>
        <v>1</v>
      </c>
      <c r="F17" s="28">
        <f t="shared" si="21"/>
        <v>0.65935329050289382</v>
      </c>
      <c r="G17" s="28">
        <f t="shared" si="21"/>
        <v>0.79279273054742239</v>
      </c>
      <c r="H17" s="28">
        <f t="shared" si="21"/>
        <v>0</v>
      </c>
      <c r="I17" s="29">
        <f t="shared" si="22"/>
        <v>1</v>
      </c>
      <c r="J17" s="8">
        <f t="shared" si="23"/>
        <v>102</v>
      </c>
      <c r="K17" s="8">
        <f t="shared" si="10"/>
        <v>153</v>
      </c>
      <c r="L17" s="6">
        <f t="shared" si="11"/>
        <v>0</v>
      </c>
      <c r="M17" s="8">
        <f t="shared" si="12"/>
        <v>102</v>
      </c>
      <c r="N17" s="8">
        <f t="shared" si="13"/>
        <v>153</v>
      </c>
      <c r="O17" s="6">
        <f t="shared" si="14"/>
        <v>0</v>
      </c>
      <c r="P17" s="28">
        <f t="shared" si="24"/>
        <v>168</v>
      </c>
      <c r="Q17" s="28">
        <f t="shared" si="25"/>
        <v>202</v>
      </c>
      <c r="R17" s="29">
        <f t="shared" si="26"/>
        <v>0</v>
      </c>
      <c r="S17" s="28">
        <f t="shared" si="16"/>
        <v>168</v>
      </c>
      <c r="T17" s="28">
        <f t="shared" si="17"/>
        <v>202</v>
      </c>
      <c r="U17" s="29">
        <f t="shared" si="18"/>
        <v>0</v>
      </c>
      <c r="V17" s="333"/>
      <c r="W17" s="333"/>
      <c r="X17" s="352"/>
      <c r="Y17" s="371"/>
    </row>
    <row r="18" spans="1:25" x14ac:dyDescent="0.35">
      <c r="A18" s="18">
        <f t="shared" si="19"/>
        <v>0.65</v>
      </c>
      <c r="B18" s="8">
        <f t="shared" si="20"/>
        <v>0.35</v>
      </c>
      <c r="C18" s="8">
        <f t="shared" si="20"/>
        <v>0.65</v>
      </c>
      <c r="D18" s="8">
        <f t="shared" si="20"/>
        <v>0</v>
      </c>
      <c r="E18" s="6">
        <f t="shared" si="20"/>
        <v>1</v>
      </c>
      <c r="F18" s="28">
        <f t="shared" si="21"/>
        <v>0.62052345507359197</v>
      </c>
      <c r="G18" s="28">
        <f t="shared" si="21"/>
        <v>0.82216808948551801</v>
      </c>
      <c r="H18" s="28">
        <f t="shared" si="21"/>
        <v>0</v>
      </c>
      <c r="I18" s="29">
        <f t="shared" si="22"/>
        <v>1</v>
      </c>
      <c r="J18" s="8">
        <f t="shared" si="23"/>
        <v>89</v>
      </c>
      <c r="K18" s="8">
        <f t="shared" si="10"/>
        <v>166</v>
      </c>
      <c r="L18" s="6">
        <f t="shared" si="11"/>
        <v>0</v>
      </c>
      <c r="M18" s="8">
        <f t="shared" si="12"/>
        <v>89</v>
      </c>
      <c r="N18" s="8">
        <f t="shared" si="13"/>
        <v>166</v>
      </c>
      <c r="O18" s="6">
        <f t="shared" si="14"/>
        <v>0</v>
      </c>
      <c r="P18" s="28">
        <f t="shared" si="24"/>
        <v>158</v>
      </c>
      <c r="Q18" s="28">
        <f t="shared" si="25"/>
        <v>210</v>
      </c>
      <c r="R18" s="29">
        <f t="shared" si="26"/>
        <v>0</v>
      </c>
      <c r="S18" s="28">
        <f t="shared" si="16"/>
        <v>158</v>
      </c>
      <c r="T18" s="28">
        <f t="shared" si="17"/>
        <v>210</v>
      </c>
      <c r="U18" s="29">
        <f t="shared" si="18"/>
        <v>0</v>
      </c>
      <c r="V18" s="334"/>
      <c r="W18" s="334"/>
      <c r="X18" s="353"/>
      <c r="Y18" s="372"/>
    </row>
    <row r="19" spans="1:25" x14ac:dyDescent="0.35">
      <c r="A19" s="18">
        <f t="shared" si="19"/>
        <v>0.70000000000000007</v>
      </c>
      <c r="B19" s="8">
        <f t="shared" si="20"/>
        <v>0.29999999999999993</v>
      </c>
      <c r="C19" s="8">
        <f t="shared" si="20"/>
        <v>0.70000000000000007</v>
      </c>
      <c r="D19" s="8">
        <f t="shared" si="20"/>
        <v>0</v>
      </c>
      <c r="E19" s="6">
        <f t="shared" si="20"/>
        <v>1</v>
      </c>
      <c r="F19" s="28">
        <f t="shared" si="21"/>
        <v>0.57853260908141713</v>
      </c>
      <c r="G19" s="28">
        <f t="shared" si="21"/>
        <v>0.85033492770203034</v>
      </c>
      <c r="H19" s="28">
        <f t="shared" si="21"/>
        <v>0</v>
      </c>
      <c r="I19" s="29">
        <f t="shared" si="22"/>
        <v>1</v>
      </c>
      <c r="J19" s="8">
        <f t="shared" si="23"/>
        <v>77</v>
      </c>
      <c r="K19" s="8">
        <f t="shared" si="10"/>
        <v>179</v>
      </c>
      <c r="L19" s="6">
        <f t="shared" si="11"/>
        <v>0</v>
      </c>
      <c r="M19" s="8">
        <f t="shared" si="12"/>
        <v>77</v>
      </c>
      <c r="N19" s="8">
        <f t="shared" si="13"/>
        <v>179</v>
      </c>
      <c r="O19" s="6">
        <f t="shared" si="14"/>
        <v>0</v>
      </c>
      <c r="P19" s="28">
        <f t="shared" si="24"/>
        <v>148</v>
      </c>
      <c r="Q19" s="28">
        <f t="shared" si="25"/>
        <v>217</v>
      </c>
      <c r="R19" s="29">
        <f t="shared" si="26"/>
        <v>0</v>
      </c>
      <c r="S19" s="28">
        <f t="shared" si="16"/>
        <v>148</v>
      </c>
      <c r="T19" s="28">
        <f t="shared" si="17"/>
        <v>217</v>
      </c>
      <c r="U19" s="29">
        <f t="shared" si="18"/>
        <v>0</v>
      </c>
      <c r="V19" s="335"/>
      <c r="W19" s="335"/>
      <c r="X19" s="354"/>
      <c r="Y19" s="373"/>
    </row>
    <row r="20" spans="1:25" x14ac:dyDescent="0.35">
      <c r="A20" s="18">
        <f t="shared" si="19"/>
        <v>0.75</v>
      </c>
      <c r="B20" s="8">
        <f t="shared" si="20"/>
        <v>0.25</v>
      </c>
      <c r="C20" s="8">
        <f t="shared" si="20"/>
        <v>0.75</v>
      </c>
      <c r="D20" s="8">
        <f t="shared" si="20"/>
        <v>0</v>
      </c>
      <c r="E20" s="6">
        <f t="shared" si="20"/>
        <v>1</v>
      </c>
      <c r="F20" s="28">
        <f t="shared" si="21"/>
        <v>0.53252054471998134</v>
      </c>
      <c r="G20" s="28">
        <f t="shared" si="21"/>
        <v>0.87742431472536653</v>
      </c>
      <c r="H20" s="28">
        <f t="shared" si="21"/>
        <v>0</v>
      </c>
      <c r="I20" s="29">
        <f t="shared" si="22"/>
        <v>1</v>
      </c>
      <c r="J20" s="8">
        <f t="shared" si="23"/>
        <v>64</v>
      </c>
      <c r="K20" s="8">
        <f t="shared" si="10"/>
        <v>191</v>
      </c>
      <c r="L20" s="6">
        <f t="shared" si="11"/>
        <v>0</v>
      </c>
      <c r="M20" s="8">
        <f t="shared" si="12"/>
        <v>64</v>
      </c>
      <c r="N20" s="8">
        <f t="shared" si="13"/>
        <v>191</v>
      </c>
      <c r="O20" s="6">
        <f t="shared" si="14"/>
        <v>0</v>
      </c>
      <c r="P20" s="28">
        <f t="shared" si="24"/>
        <v>136</v>
      </c>
      <c r="Q20" s="28">
        <f t="shared" si="25"/>
        <v>224</v>
      </c>
      <c r="R20" s="29">
        <f t="shared" si="26"/>
        <v>0</v>
      </c>
      <c r="S20" s="28">
        <f t="shared" si="16"/>
        <v>136</v>
      </c>
      <c r="T20" s="28">
        <f t="shared" si="17"/>
        <v>224</v>
      </c>
      <c r="U20" s="29">
        <f t="shared" si="18"/>
        <v>0</v>
      </c>
      <c r="V20" s="336"/>
      <c r="W20" s="336"/>
      <c r="X20" s="355"/>
      <c r="Y20" s="374"/>
    </row>
    <row r="21" spans="1:25" x14ac:dyDescent="0.35">
      <c r="A21" s="18">
        <f t="shared" si="19"/>
        <v>0.8</v>
      </c>
      <c r="B21" s="8">
        <f t="shared" si="20"/>
        <v>0.19999999999999996</v>
      </c>
      <c r="C21" s="8">
        <f t="shared" si="20"/>
        <v>0.8</v>
      </c>
      <c r="D21" s="8">
        <f t="shared" si="20"/>
        <v>0</v>
      </c>
      <c r="E21" s="6">
        <f t="shared" si="20"/>
        <v>1</v>
      </c>
      <c r="F21" s="28">
        <f t="shared" si="21"/>
        <v>0.48115650505228635</v>
      </c>
      <c r="G21" s="28">
        <f t="shared" si="21"/>
        <v>0.90354543091909445</v>
      </c>
      <c r="H21" s="28">
        <f t="shared" si="21"/>
        <v>0</v>
      </c>
      <c r="I21" s="29">
        <f t="shared" si="22"/>
        <v>1</v>
      </c>
      <c r="J21" s="8">
        <f t="shared" si="23"/>
        <v>51</v>
      </c>
      <c r="K21" s="8">
        <f t="shared" si="10"/>
        <v>204</v>
      </c>
      <c r="L21" s="6">
        <f t="shared" si="11"/>
        <v>0</v>
      </c>
      <c r="M21" s="8">
        <f t="shared" si="12"/>
        <v>51</v>
      </c>
      <c r="N21" s="8">
        <f t="shared" si="13"/>
        <v>204</v>
      </c>
      <c r="O21" s="6">
        <f t="shared" si="14"/>
        <v>0</v>
      </c>
      <c r="P21" s="28">
        <f t="shared" si="24"/>
        <v>123</v>
      </c>
      <c r="Q21" s="28">
        <f t="shared" si="25"/>
        <v>230</v>
      </c>
      <c r="R21" s="29">
        <f t="shared" si="26"/>
        <v>0</v>
      </c>
      <c r="S21" s="28">
        <f t="shared" si="16"/>
        <v>123</v>
      </c>
      <c r="T21" s="28">
        <f t="shared" si="17"/>
        <v>230</v>
      </c>
      <c r="U21" s="29">
        <f t="shared" si="18"/>
        <v>0</v>
      </c>
      <c r="V21" s="337"/>
      <c r="W21" s="337"/>
      <c r="X21" s="356"/>
      <c r="Y21" s="375"/>
    </row>
    <row r="22" spans="1:25" x14ac:dyDescent="0.35">
      <c r="A22" s="18">
        <f t="shared" si="19"/>
        <v>0.85000000000000009</v>
      </c>
      <c r="B22" s="8">
        <f t="shared" si="20"/>
        <v>0.14999999999999991</v>
      </c>
      <c r="C22" s="8">
        <f t="shared" si="20"/>
        <v>0.85000000000000009</v>
      </c>
      <c r="D22" s="8">
        <f t="shared" si="20"/>
        <v>0</v>
      </c>
      <c r="E22" s="6">
        <f t="shared" si="20"/>
        <v>1</v>
      </c>
      <c r="F22" s="28">
        <f t="shared" si="21"/>
        <v>0.42217841672115458</v>
      </c>
      <c r="G22" s="28">
        <f t="shared" si="21"/>
        <v>0.92879034788406489</v>
      </c>
      <c r="H22" s="28">
        <f t="shared" si="21"/>
        <v>0</v>
      </c>
      <c r="I22" s="29">
        <f t="shared" si="22"/>
        <v>1</v>
      </c>
      <c r="J22" s="8">
        <f t="shared" si="23"/>
        <v>38</v>
      </c>
      <c r="K22" s="8">
        <f t="shared" si="10"/>
        <v>217</v>
      </c>
      <c r="L22" s="6">
        <f t="shared" si="11"/>
        <v>0</v>
      </c>
      <c r="M22" s="8">
        <f t="shared" si="12"/>
        <v>38</v>
      </c>
      <c r="N22" s="8">
        <f t="shared" si="13"/>
        <v>217</v>
      </c>
      <c r="O22" s="6">
        <f t="shared" si="14"/>
        <v>0</v>
      </c>
      <c r="P22" s="28">
        <f t="shared" si="24"/>
        <v>108</v>
      </c>
      <c r="Q22" s="28">
        <f t="shared" si="25"/>
        <v>237</v>
      </c>
      <c r="R22" s="29">
        <f t="shared" si="26"/>
        <v>0</v>
      </c>
      <c r="S22" s="28">
        <f t="shared" si="16"/>
        <v>108</v>
      </c>
      <c r="T22" s="28">
        <f t="shared" si="17"/>
        <v>237</v>
      </c>
      <c r="U22" s="29">
        <f t="shared" si="18"/>
        <v>0</v>
      </c>
      <c r="V22" s="338"/>
      <c r="W22" s="338"/>
      <c r="X22" s="357"/>
      <c r="Y22" s="376"/>
    </row>
    <row r="23" spans="1:25" x14ac:dyDescent="0.35">
      <c r="A23" s="18">
        <f t="shared" si="19"/>
        <v>0.9</v>
      </c>
      <c r="B23" s="8">
        <f t="shared" si="20"/>
        <v>9.9999999999999978E-2</v>
      </c>
      <c r="C23" s="8">
        <f t="shared" si="20"/>
        <v>0.9</v>
      </c>
      <c r="D23" s="8">
        <f t="shared" si="20"/>
        <v>0</v>
      </c>
      <c r="E23" s="6">
        <f t="shared" si="20"/>
        <v>1</v>
      </c>
      <c r="F23" s="28">
        <f t="shared" si="21"/>
        <v>0.35111917342151305</v>
      </c>
      <c r="G23" s="28">
        <f t="shared" si="21"/>
        <v>0.95323754755126877</v>
      </c>
      <c r="H23" s="28">
        <f t="shared" si="21"/>
        <v>0</v>
      </c>
      <c r="I23" s="29">
        <f t="shared" si="22"/>
        <v>1</v>
      </c>
      <c r="J23" s="8">
        <f t="shared" si="23"/>
        <v>26</v>
      </c>
      <c r="K23" s="8">
        <f t="shared" si="10"/>
        <v>230</v>
      </c>
      <c r="L23" s="6">
        <f t="shared" si="11"/>
        <v>0</v>
      </c>
      <c r="M23" s="8">
        <f t="shared" si="12"/>
        <v>26</v>
      </c>
      <c r="N23" s="8">
        <f t="shared" si="13"/>
        <v>230</v>
      </c>
      <c r="O23" s="6">
        <f t="shared" si="14"/>
        <v>0</v>
      </c>
      <c r="P23" s="28">
        <f t="shared" si="24"/>
        <v>90</v>
      </c>
      <c r="Q23" s="28">
        <f t="shared" si="25"/>
        <v>243</v>
      </c>
      <c r="R23" s="29">
        <f t="shared" si="26"/>
        <v>0</v>
      </c>
      <c r="S23" s="28">
        <f t="shared" si="16"/>
        <v>90</v>
      </c>
      <c r="T23" s="28">
        <f t="shared" si="17"/>
        <v>243</v>
      </c>
      <c r="U23" s="29">
        <f t="shared" si="18"/>
        <v>0</v>
      </c>
      <c r="V23" s="339"/>
      <c r="W23" s="339"/>
      <c r="X23" s="358"/>
      <c r="Y23" s="377"/>
    </row>
    <row r="24" spans="1:25" x14ac:dyDescent="0.35">
      <c r="A24" s="18">
        <f t="shared" si="19"/>
        <v>0.95000000000000007</v>
      </c>
      <c r="B24" s="8">
        <f t="shared" si="20"/>
        <v>4.9999999999999933E-2</v>
      </c>
      <c r="C24" s="8">
        <f t="shared" si="20"/>
        <v>0.95000000000000007</v>
      </c>
      <c r="D24" s="8">
        <f t="shared" si="20"/>
        <v>0</v>
      </c>
      <c r="E24" s="6">
        <f t="shared" si="20"/>
        <v>1</v>
      </c>
      <c r="F24" s="28">
        <f t="shared" si="21"/>
        <v>0.25622572416600586</v>
      </c>
      <c r="G24" s="28">
        <f t="shared" si="21"/>
        <v>0.97695456384146928</v>
      </c>
      <c r="H24" s="28">
        <f t="shared" si="21"/>
        <v>0</v>
      </c>
      <c r="I24" s="29">
        <f t="shared" si="22"/>
        <v>1</v>
      </c>
      <c r="J24" s="8">
        <f t="shared" si="23"/>
        <v>13</v>
      </c>
      <c r="K24" s="8">
        <f t="shared" si="10"/>
        <v>242</v>
      </c>
      <c r="L24" s="6">
        <f t="shared" si="11"/>
        <v>0</v>
      </c>
      <c r="M24" s="8">
        <f t="shared" si="12"/>
        <v>13</v>
      </c>
      <c r="N24" s="8">
        <f t="shared" si="13"/>
        <v>242</v>
      </c>
      <c r="O24" s="6">
        <f t="shared" si="14"/>
        <v>0</v>
      </c>
      <c r="P24" s="28">
        <f t="shared" si="24"/>
        <v>65</v>
      </c>
      <c r="Q24" s="28">
        <f t="shared" si="25"/>
        <v>249</v>
      </c>
      <c r="R24" s="29">
        <f t="shared" si="26"/>
        <v>0</v>
      </c>
      <c r="S24" s="28">
        <f t="shared" si="16"/>
        <v>65</v>
      </c>
      <c r="T24" s="28">
        <f t="shared" si="17"/>
        <v>249</v>
      </c>
      <c r="U24" s="29">
        <f t="shared" si="18"/>
        <v>0</v>
      </c>
      <c r="V24" s="340"/>
      <c r="W24" s="340"/>
      <c r="X24" s="359"/>
      <c r="Y24" s="378"/>
    </row>
    <row r="25" spans="1:25" x14ac:dyDescent="0.35">
      <c r="A25" s="13">
        <v>1</v>
      </c>
      <c r="B25" s="63">
        <v>0</v>
      </c>
      <c r="C25" s="63">
        <v>1</v>
      </c>
      <c r="D25" s="63">
        <v>0</v>
      </c>
      <c r="E25" s="64">
        <v>1</v>
      </c>
      <c r="F25" s="26">
        <f t="shared" ref="F25:I25" si="27">B25</f>
        <v>0</v>
      </c>
      <c r="G25" s="26">
        <f t="shared" si="27"/>
        <v>1</v>
      </c>
      <c r="H25" s="26">
        <f t="shared" si="27"/>
        <v>0</v>
      </c>
      <c r="I25" s="27">
        <f t="shared" si="27"/>
        <v>1</v>
      </c>
      <c r="J25" s="2">
        <f t="shared" si="23"/>
        <v>0</v>
      </c>
      <c r="K25" s="2">
        <f t="shared" si="10"/>
        <v>255</v>
      </c>
      <c r="L25" s="3">
        <f t="shared" si="11"/>
        <v>0</v>
      </c>
      <c r="M25" s="2">
        <f t="shared" si="12"/>
        <v>0</v>
      </c>
      <c r="N25" s="2">
        <f t="shared" si="13"/>
        <v>255</v>
      </c>
      <c r="O25" s="3">
        <f t="shared" si="14"/>
        <v>0</v>
      </c>
      <c r="P25" s="26">
        <f t="shared" si="24"/>
        <v>0</v>
      </c>
      <c r="Q25" s="26">
        <f t="shared" si="25"/>
        <v>255</v>
      </c>
      <c r="R25" s="27">
        <f t="shared" si="26"/>
        <v>0</v>
      </c>
      <c r="S25" s="26">
        <f t="shared" si="16"/>
        <v>0</v>
      </c>
      <c r="T25" s="26">
        <f t="shared" si="17"/>
        <v>255</v>
      </c>
      <c r="U25" s="27">
        <f t="shared" si="18"/>
        <v>0</v>
      </c>
      <c r="V25" s="65"/>
      <c r="W25" s="65"/>
      <c r="X25" s="65"/>
      <c r="Y25" s="66"/>
    </row>
  </sheetData>
  <sheetProtection sheet="1" objects="1" scenarios="1" formatCells="0"/>
  <mergeCells count="10">
    <mergeCell ref="V2:Y2"/>
    <mergeCell ref="B3:E3"/>
    <mergeCell ref="F3:I3"/>
    <mergeCell ref="J3:L3"/>
    <mergeCell ref="S3:U3"/>
    <mergeCell ref="A1:I1"/>
    <mergeCell ref="M3:O3"/>
    <mergeCell ref="P3:R3"/>
    <mergeCell ref="B2:I2"/>
    <mergeCell ref="J2:U2"/>
  </mergeCells>
  <hyperlinks>
    <hyperlink ref="A1:I1" r:id="rId1" display="https://stackoverflow.com/a/29321264/9072726" xr:uid="{00000000-0004-0000-0500-000000000000}"/>
  </hyperlinks>
  <pageMargins left="0.98425196850393704" right="0.98425196850393704" top="0.98425196850393704" bottom="0.98425196850393704" header="0.39370078740157483" footer="0.39370078740157483"/>
  <pageSetup paperSize="9" scale="82" orientation="landscape" verticalDpi="1200" r:id="rId2"/>
  <headerFooter>
    <oddHeader>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Climb colors</vt:lpstr>
      <vt:lpstr>Altitude colors</vt:lpstr>
      <vt:lpstr>User interface colors</vt:lpstr>
      <vt:lpstr>Gamma correction</vt:lpstr>
      <vt:lpstr>Alpha blending</vt:lpstr>
      <vt:lpstr>Color blending</vt:lpstr>
      <vt:lpstr>'User interface colors'!Button</vt:lpstr>
      <vt:lpstr>'Alpha blending'!Color1</vt:lpstr>
      <vt:lpstr>'Altitude colors'!Color1</vt:lpstr>
      <vt:lpstr>'Climb colors'!Color1</vt:lpstr>
      <vt:lpstr>'Color blending'!Color1</vt:lpstr>
      <vt:lpstr>'Gamma correction'!Color1</vt:lpstr>
      <vt:lpstr>'User interface colors'!Color1</vt:lpstr>
      <vt:lpstr>'Alpha blending'!Color2</vt:lpstr>
      <vt:lpstr>'Altitude colors'!Color2</vt:lpstr>
      <vt:lpstr>'Climb colors'!Color2</vt:lpstr>
      <vt:lpstr>'Color blending'!Color2</vt:lpstr>
      <vt:lpstr>'Gamma correction'!Color2</vt:lpstr>
      <vt:lpstr>'User interface colors'!Color2</vt:lpstr>
      <vt:lpstr>'Color blending'!Color3</vt:lpstr>
      <vt:lpstr>'Color blending'!Color4</vt:lpstr>
      <vt:lpstr>'Alpha blending'!gamma</vt:lpstr>
      <vt:lpstr>'Altitude colors'!gamma</vt:lpstr>
      <vt:lpstr>'Climb colors'!gamma</vt:lpstr>
      <vt:lpstr>'Color blending'!gamma</vt:lpstr>
      <vt:lpstr>'Gamma correction'!gamma</vt:lpstr>
      <vt:lpstr>'User interface colors'!gamma</vt:lpstr>
      <vt:lpstr>'Alpha blending'!Input</vt:lpstr>
      <vt:lpstr>'Altitude colors'!Input</vt:lpstr>
      <vt:lpstr>'Climb colors'!Input</vt:lpstr>
      <vt:lpstr>'Color blending'!Input</vt:lpstr>
      <vt:lpstr>'Gamma correction'!Input</vt:lpstr>
      <vt:lpstr>'User interface colors'!Input</vt:lpstr>
      <vt:lpstr>'User interface colors'!TextOnBlack1</vt:lpstr>
      <vt:lpstr>'User interface colors'!TextOnBlack2</vt:lpstr>
      <vt:lpstr>'User interface colors'!TextOnButton1</vt:lpstr>
      <vt:lpstr>'User interface colors'!TextOnButton2</vt:lpstr>
      <vt:lpstr>'User interface colors'!TextOnWhite1</vt:lpstr>
      <vt:lpstr>'User interface colors'!TextOnWhite2</vt:lpstr>
    </vt:vector>
  </TitlesOfParts>
  <Company>Rainpower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Stian Andre Olsen</dc:creator>
  <cp:lastModifiedBy>Stian Andre Olsen</cp:lastModifiedBy>
  <cp:lastPrinted>2018-11-29T21:29:15Z</cp:lastPrinted>
  <dcterms:created xsi:type="dcterms:W3CDTF">2018-11-21T11:36:01Z</dcterms:created>
  <dcterms:modified xsi:type="dcterms:W3CDTF">2019-02-03T10:46:06Z</dcterms:modified>
</cp:coreProperties>
</file>